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F:\Intern\Personal_Finance_Analytics_project\"/>
    </mc:Choice>
  </mc:AlternateContent>
  <xr:revisionPtr revIDLastSave="0" documentId="13_ncr:1_{3BBDBB00-D246-4222-A37C-8CA7F34C7B91}" xr6:coauthVersionLast="47" xr6:coauthVersionMax="47" xr10:uidLastSave="{00000000-0000-0000-0000-000000000000}"/>
  <bookViews>
    <workbookView xWindow="-108" yWindow="-108" windowWidth="23256" windowHeight="12456" activeTab="3" xr2:uid="{0B40BF91-05B8-4351-A3EB-59CA788D3C45}"/>
  </bookViews>
  <sheets>
    <sheet name="Transactions" sheetId="1" r:id="rId1"/>
    <sheet name="Cleaned_Data" sheetId="4" r:id="rId2"/>
    <sheet name="Analysis" sheetId="3" r:id="rId3"/>
    <sheet name="Dashboard" sheetId="2" r:id="rId4"/>
  </sheet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4" l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</calcChain>
</file>

<file path=xl/sharedStrings.xml><?xml version="1.0" encoding="utf-8"?>
<sst xmlns="http://schemas.openxmlformats.org/spreadsheetml/2006/main" count="862" uniqueCount="91">
  <si>
    <t>Date</t>
  </si>
  <si>
    <t>Category</t>
  </si>
  <si>
    <t>Description</t>
  </si>
  <si>
    <t>Type</t>
  </si>
  <si>
    <t>Payment</t>
  </si>
  <si>
    <t>Amount</t>
  </si>
  <si>
    <t>Loan</t>
  </si>
  <si>
    <t>Stipend</t>
  </si>
  <si>
    <t>Income</t>
  </si>
  <si>
    <t>Bank</t>
  </si>
  <si>
    <t>Food</t>
  </si>
  <si>
    <t>Transport</t>
  </si>
  <si>
    <t>Snacks</t>
  </si>
  <si>
    <t>Expense</t>
  </si>
  <si>
    <t>Card</t>
  </si>
  <si>
    <t>Bus</t>
  </si>
  <si>
    <t>Cash</t>
  </si>
  <si>
    <t>Bills</t>
  </si>
  <si>
    <t>Package</t>
  </si>
  <si>
    <t>Bag</t>
  </si>
  <si>
    <t>Top</t>
  </si>
  <si>
    <t>Ramen</t>
  </si>
  <si>
    <t>Shopping</t>
  </si>
  <si>
    <t>Salary</t>
  </si>
  <si>
    <t>Intern</t>
  </si>
  <si>
    <t>Lunch</t>
  </si>
  <si>
    <t>T-shirt</t>
  </si>
  <si>
    <t>Internet</t>
  </si>
  <si>
    <t>Train</t>
  </si>
  <si>
    <t>Coffee</t>
  </si>
  <si>
    <t>Entertainment</t>
  </si>
  <si>
    <t>Movie</t>
  </si>
  <si>
    <t>Dinner</t>
  </si>
  <si>
    <t>Shoes</t>
  </si>
  <si>
    <t>Pizza</t>
  </si>
  <si>
    <t>Taxi</t>
  </si>
  <si>
    <t>Electricity</t>
  </si>
  <si>
    <t>Health</t>
  </si>
  <si>
    <t>Medicine</t>
  </si>
  <si>
    <t>Breakfast</t>
  </si>
  <si>
    <t>Netflix</t>
  </si>
  <si>
    <t>Jeans</t>
  </si>
  <si>
    <t>Juice</t>
  </si>
  <si>
    <t>Water Bill</t>
  </si>
  <si>
    <t>Makeup</t>
  </si>
  <si>
    <t>Burger</t>
  </si>
  <si>
    <t>Game</t>
  </si>
  <si>
    <t>Tuk Tuk</t>
  </si>
  <si>
    <t>Ice Cream</t>
  </si>
  <si>
    <t>Dress</t>
  </si>
  <si>
    <t>Mobile Reload</t>
  </si>
  <si>
    <t>Rice &amp; Curry</t>
  </si>
  <si>
    <t>Freelance</t>
  </si>
  <si>
    <t>Headphones</t>
  </si>
  <si>
    <t>Rent</t>
  </si>
  <si>
    <t>Concert</t>
  </si>
  <si>
    <t>Doctor</t>
  </si>
  <si>
    <t>Watch</t>
  </si>
  <si>
    <t>WiFi</t>
  </si>
  <si>
    <t>Spotify</t>
  </si>
  <si>
    <t>Bubble Tea</t>
  </si>
  <si>
    <t>TV Package</t>
  </si>
  <si>
    <t>Kottu</t>
  </si>
  <si>
    <t>Perfume</t>
  </si>
  <si>
    <t>Cinema</t>
  </si>
  <si>
    <t>Bonus</t>
  </si>
  <si>
    <t>Backpack</t>
  </si>
  <si>
    <t>YouTube Premium</t>
  </si>
  <si>
    <t>Sunglasses</t>
  </si>
  <si>
    <t>Vitamins</t>
  </si>
  <si>
    <t>Theme Park</t>
  </si>
  <si>
    <t>Part Time</t>
  </si>
  <si>
    <t>Hoodie</t>
  </si>
  <si>
    <t>Keyboard</t>
  </si>
  <si>
    <t>Earrings</t>
  </si>
  <si>
    <t>Clinic</t>
  </si>
  <si>
    <t>Ice Coffee</t>
  </si>
  <si>
    <t>Laptop Bag</t>
  </si>
  <si>
    <t>Sandals</t>
  </si>
  <si>
    <t>Allowance</t>
  </si>
  <si>
    <t>Month</t>
  </si>
  <si>
    <t>Weekday</t>
  </si>
  <si>
    <t>Net Amount</t>
  </si>
  <si>
    <t>Row Labels</t>
  </si>
  <si>
    <t>Grand Total</t>
  </si>
  <si>
    <t>Sum of Amount</t>
  </si>
  <si>
    <t>(All)</t>
  </si>
  <si>
    <t>March</t>
  </si>
  <si>
    <t>April</t>
  </si>
  <si>
    <t>Personal Finance Analytics Dashboard (March–April 2026)</t>
  </si>
  <si>
    <r>
      <rPr>
        <b/>
        <sz val="12"/>
        <color theme="1"/>
        <rFont val="Calibri"/>
        <family val="2"/>
        <scheme val="minor"/>
      </rPr>
      <t>Key Insights:</t>
    </r>
    <r>
      <rPr>
        <sz val="11"/>
        <color theme="1"/>
        <rFont val="Calibri"/>
        <family val="2"/>
        <scheme val="minor"/>
      </rPr>
      <t xml:space="preserve">
• Shopping contributed the largest expense category.
• Total expenses exceeded income by approximately 128%.
• Bank and card transactions accounted for most spending.
• Spending decreased from March to April.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</si>
</sst>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1" applyFont="1" applyAlignment="1">
      <alignment vertical="center" wrapText="1"/>
    </xf>
    <xf numFmtId="0" fontId="1" fillId="2" borderId="0" xfId="1" applyAlignment="1">
      <alignment vertical="center" wrapText="1"/>
    </xf>
  </cellXfs>
  <cellStyles count="2">
    <cellStyle name="40% - Accent1" xfId="1" builtinId="31"/>
    <cellStyle name="Normal" xfId="0" builtinId="0"/>
  </cellStyles>
  <dxfs count="11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Expense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862371076854833"/>
          <c:y val="0.18437445813144349"/>
          <c:w val="0.62067150937118776"/>
          <c:h val="0.70030691043624649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March</c:v>
              </c:pt>
              <c:pt idx="1">
                <c:v>April</c:v>
              </c:pt>
            </c:strLit>
          </c:cat>
          <c:val>
            <c:numLit>
              <c:formatCode>General</c:formatCode>
              <c:ptCount val="2"/>
              <c:pt idx="0">
                <c:v>181557</c:v>
              </c:pt>
              <c:pt idx="1">
                <c:v>115340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28C-4DEC-AB8D-B5BF9A97E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749503"/>
        <c:axId val="65749919"/>
      </c:lineChart>
      <c:catAx>
        <c:axId val="657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49919"/>
        <c:crosses val="autoZero"/>
        <c:auto val="1"/>
        <c:lblAlgn val="ctr"/>
        <c:lblOffset val="100"/>
        <c:noMultiLvlLbl val="0"/>
      </c:catAx>
      <c:valAx>
        <c:axId val="6574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4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[Personal_Finance_Analytics.xlsx]Analysis!PivotTable1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8E-4809-B03B-C5FA4F0345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8E-4809-B03B-C5FA4F0345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8E-4809-B03B-C5FA4F0345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8E-4809-B03B-C5FA4F0345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8E-4809-B03B-C5FA4F03450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88E-4809-B03B-C5FA4F034506}"/>
              </c:ext>
            </c:extLst>
          </c:dPt>
          <c:cat>
            <c:strRef>
              <c:f>Analysis!$A$4:$A$10</c:f>
              <c:strCache>
                <c:ptCount val="6"/>
                <c:pt idx="0">
                  <c:v>Bills</c:v>
                </c:pt>
                <c:pt idx="1">
                  <c:v>Entertainment</c:v>
                </c:pt>
                <c:pt idx="2">
                  <c:v>Food</c:v>
                </c:pt>
                <c:pt idx="3">
                  <c:v>Health</c:v>
                </c:pt>
                <c:pt idx="4">
                  <c:v>Shopping</c:v>
                </c:pt>
                <c:pt idx="5">
                  <c:v>Transport</c:v>
                </c:pt>
              </c:strCache>
            </c:strRef>
          </c:cat>
          <c:val>
            <c:numRef>
              <c:f>Analysis!$B$4:$B$10</c:f>
              <c:numCache>
                <c:formatCode>General</c:formatCode>
                <c:ptCount val="6"/>
                <c:pt idx="0">
                  <c:v>54648</c:v>
                </c:pt>
                <c:pt idx="1">
                  <c:v>33999</c:v>
                </c:pt>
                <c:pt idx="2">
                  <c:v>23530</c:v>
                </c:pt>
                <c:pt idx="3">
                  <c:v>8180</c:v>
                </c:pt>
                <c:pt idx="4">
                  <c:v>78140</c:v>
                </c:pt>
                <c:pt idx="5">
                  <c:v>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88E-4809-B03B-C5FA4F034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Payment Method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Bank</c:v>
              </c:pt>
              <c:pt idx="1">
                <c:v>Card</c:v>
              </c:pt>
              <c:pt idx="2">
                <c:v>Cash</c:v>
              </c:pt>
            </c:strLit>
          </c:cat>
          <c:val>
            <c:numLit>
              <c:formatCode>General</c:formatCode>
              <c:ptCount val="3"/>
              <c:pt idx="0">
                <c:v>141800</c:v>
              </c:pt>
              <c:pt idx="1">
                <c:v>132787</c:v>
              </c:pt>
              <c:pt idx="2">
                <c:v>22310</c:v>
              </c:pt>
            </c:numLit>
          </c:val>
          <c:extLst>
            <c:ext xmlns:c16="http://schemas.microsoft.com/office/drawing/2014/chart" uri="{C3380CC4-5D6E-409C-BE32-E72D297353CC}">
              <c16:uniqueId val="{00000000-A9F1-4A72-88EB-F425A28D3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7533135"/>
        <c:axId val="1767531887"/>
      </c:barChart>
      <c:catAx>
        <c:axId val="1767533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31887"/>
        <c:crosses val="autoZero"/>
        <c:auto val="1"/>
        <c:lblAlgn val="ctr"/>
        <c:lblOffset val="100"/>
        <c:noMultiLvlLbl val="0"/>
      </c:catAx>
      <c:valAx>
        <c:axId val="176753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3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3</xdr:row>
      <xdr:rowOff>7620</xdr:rowOff>
    </xdr:from>
    <xdr:to>
      <xdr:col>4</xdr:col>
      <xdr:colOff>7620</xdr:colOff>
      <xdr:row>7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DC98547-DD39-418F-96F7-5E3750F201DB}"/>
            </a:ext>
          </a:extLst>
        </xdr:cNvPr>
        <xdr:cNvSpPr/>
      </xdr:nvSpPr>
      <xdr:spPr>
        <a:xfrm>
          <a:off x="617220" y="556260"/>
          <a:ext cx="1828800" cy="72390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Total Income</a:t>
          </a:r>
        </a:p>
        <a:p>
          <a:pPr algn="ctr"/>
          <a:r>
            <a:rPr lang="en-US" sz="1400"/>
            <a:t>90,600</a:t>
          </a:r>
        </a:p>
      </xdr:txBody>
    </xdr:sp>
    <xdr:clientData/>
  </xdr:twoCellAnchor>
  <xdr:twoCellAnchor>
    <xdr:from>
      <xdr:col>5</xdr:col>
      <xdr:colOff>7620</xdr:colOff>
      <xdr:row>3</xdr:row>
      <xdr:rowOff>0</xdr:rowOff>
    </xdr:from>
    <xdr:to>
      <xdr:col>8</xdr:col>
      <xdr:colOff>7620</xdr:colOff>
      <xdr:row>6</xdr:row>
      <xdr:rowOff>175260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00453B-1ED2-4AD5-BD09-F75E1C58AC51}"/>
            </a:ext>
          </a:extLst>
        </xdr:cNvPr>
        <xdr:cNvSpPr/>
      </xdr:nvSpPr>
      <xdr:spPr>
        <a:xfrm>
          <a:off x="3055620" y="548640"/>
          <a:ext cx="1828800" cy="723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</xdr:colOff>
      <xdr:row>3</xdr:row>
      <xdr:rowOff>0</xdr:rowOff>
    </xdr:from>
    <xdr:to>
      <xdr:col>8</xdr:col>
      <xdr:colOff>7620</xdr:colOff>
      <xdr:row>6</xdr:row>
      <xdr:rowOff>175260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933CB5F-0669-46A7-960E-5C6BEB412303}"/>
            </a:ext>
          </a:extLst>
        </xdr:cNvPr>
        <xdr:cNvSpPr/>
      </xdr:nvSpPr>
      <xdr:spPr>
        <a:xfrm>
          <a:off x="3055620" y="548640"/>
          <a:ext cx="1828800" cy="72390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Total Expense</a:t>
          </a:r>
        </a:p>
        <a:p>
          <a:pPr algn="ctr"/>
          <a:r>
            <a:rPr lang="en-US" sz="1400"/>
            <a:t>206,297</a:t>
          </a:r>
        </a:p>
      </xdr:txBody>
    </xdr:sp>
    <xdr:clientData/>
  </xdr:twoCellAnchor>
  <xdr:twoCellAnchor>
    <xdr:from>
      <xdr:col>9</xdr:col>
      <xdr:colOff>7620</xdr:colOff>
      <xdr:row>3</xdr:row>
      <xdr:rowOff>7620</xdr:rowOff>
    </xdr:from>
    <xdr:to>
      <xdr:col>12</xdr:col>
      <xdr:colOff>0</xdr:colOff>
      <xdr:row>7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E86F7D5-4C03-4FD4-A5EA-264EC29EF84D}"/>
            </a:ext>
          </a:extLst>
        </xdr:cNvPr>
        <xdr:cNvSpPr/>
      </xdr:nvSpPr>
      <xdr:spPr>
        <a:xfrm>
          <a:off x="5494020" y="556260"/>
          <a:ext cx="1821180" cy="72390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Savings</a:t>
          </a:r>
        </a:p>
        <a:p>
          <a:pPr algn="ctr"/>
          <a:r>
            <a:rPr lang="en-US" sz="1400"/>
            <a:t>-115697</a:t>
          </a:r>
          <a:endParaRPr lang="en-US" sz="1100"/>
        </a:p>
      </xdr:txBody>
    </xdr:sp>
    <xdr:clientData/>
  </xdr:twoCellAnchor>
  <xdr:twoCellAnchor>
    <xdr:from>
      <xdr:col>13</xdr:col>
      <xdr:colOff>7620</xdr:colOff>
      <xdr:row>3</xdr:row>
      <xdr:rowOff>7620</xdr:rowOff>
    </xdr:from>
    <xdr:to>
      <xdr:col>15</xdr:col>
      <xdr:colOff>601980</xdr:colOff>
      <xdr:row>6</xdr:row>
      <xdr:rowOff>175260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3431D94-A988-4B38-9933-43F54BC0D02A}"/>
            </a:ext>
          </a:extLst>
        </xdr:cNvPr>
        <xdr:cNvSpPr/>
      </xdr:nvSpPr>
      <xdr:spPr>
        <a:xfrm>
          <a:off x="7932420" y="556260"/>
          <a:ext cx="1813560" cy="71628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/>
            <a:t>Expense Ratio</a:t>
          </a:r>
        </a:p>
        <a:p>
          <a:pPr algn="ctr"/>
          <a:r>
            <a:rPr lang="en-US" sz="1400" b="0"/>
            <a:t>227.7%</a:t>
          </a:r>
        </a:p>
      </xdr:txBody>
    </xdr:sp>
    <xdr:clientData/>
  </xdr:twoCellAnchor>
  <xdr:twoCellAnchor>
    <xdr:from>
      <xdr:col>0</xdr:col>
      <xdr:colOff>571500</xdr:colOff>
      <xdr:row>8</xdr:row>
      <xdr:rowOff>175261</xdr:rowOff>
    </xdr:from>
    <xdr:to>
      <xdr:col>16</xdr:col>
      <xdr:colOff>15240</xdr:colOff>
      <xdr:row>18</xdr:row>
      <xdr:rowOff>15241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03FE04A-D198-48E3-95F6-70FE3C44A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8</xdr:col>
      <xdr:colOff>0</xdr:colOff>
      <xdr:row>31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B012F09-8238-4827-AC9F-4AF5C1761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20</xdr:row>
      <xdr:rowOff>1</xdr:rowOff>
    </xdr:from>
    <xdr:to>
      <xdr:col>16</xdr:col>
      <xdr:colOff>7620</xdr:colOff>
      <xdr:row>31</xdr:row>
      <xdr:rowOff>53341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A26E0E2-0A64-408E-877C-EF33251A3C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6.444278009258" createdVersion="7" refreshedVersion="7" minRefreshableVersion="3" recordCount="102" xr:uid="{694388A3-9497-4BAB-852B-3603E8B29B8E}">
  <cacheSource type="worksheet">
    <worksheetSource name="finance_data"/>
  </cacheSource>
  <cacheFields count="9">
    <cacheField name="Date" numFmtId="14">
      <sharedItems containsSemiMixedTypes="0" containsNonDate="0" containsDate="1" containsString="0" minDate="2026-03-01T00:00:00" maxDate="2026-04-21T00:00:00"/>
    </cacheField>
    <cacheField name="Category" numFmtId="0">
      <sharedItems count="8">
        <s v="Loan"/>
        <s v="Food"/>
        <s v="Transport"/>
        <s v="Shopping"/>
        <s v="Bills"/>
        <s v="Entertainment"/>
        <s v="Health"/>
        <s v="Salary"/>
      </sharedItems>
    </cacheField>
    <cacheField name="Description" numFmtId="0">
      <sharedItems/>
    </cacheField>
    <cacheField name="Type" numFmtId="0">
      <sharedItems count="2">
        <s v="Income"/>
        <s v="Expense"/>
      </sharedItems>
    </cacheField>
    <cacheField name="Payment" numFmtId="0">
      <sharedItems count="3">
        <s v="Bank"/>
        <s v="Card"/>
        <s v="Cash"/>
      </sharedItems>
    </cacheField>
    <cacheField name="Amount" numFmtId="0">
      <sharedItems containsSemiMixedTypes="0" containsString="0" containsNumber="1" containsInteger="1" minValue="100" maxValue="20000"/>
    </cacheField>
    <cacheField name="Month" numFmtId="0">
      <sharedItems count="2">
        <s v="March"/>
        <s v="April"/>
      </sharedItems>
    </cacheField>
    <cacheField name="Weekday" numFmtId="0">
      <sharedItems/>
    </cacheField>
    <cacheField name="Net Amount" numFmtId="0">
      <sharedItems containsSemiMixedTypes="0" containsString="0" containsNumber="1" containsInteger="1" minValue="-15000" maxValue="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d v="2026-03-01T00:00:00"/>
    <x v="0"/>
    <s v="Stipend"/>
    <x v="0"/>
    <x v="0"/>
    <n v="18600"/>
    <x v="0"/>
    <s v="Sunday"/>
    <n v="18600"/>
  </r>
  <r>
    <d v="2026-03-01T00:00:00"/>
    <x v="1"/>
    <s v="Snacks"/>
    <x v="1"/>
    <x v="1"/>
    <n v="250"/>
    <x v="0"/>
    <s v="Sunday"/>
    <n v="-250"/>
  </r>
  <r>
    <d v="2026-03-01T00:00:00"/>
    <x v="2"/>
    <s v="Bus"/>
    <x v="1"/>
    <x v="2"/>
    <n v="1220"/>
    <x v="0"/>
    <s v="Sunday"/>
    <n v="-1220"/>
  </r>
  <r>
    <d v="2026-03-02T00:00:00"/>
    <x v="1"/>
    <s v="Lunch"/>
    <x v="1"/>
    <x v="1"/>
    <n v="850"/>
    <x v="0"/>
    <s v="Monday"/>
    <n v="-850"/>
  </r>
  <r>
    <d v="2026-03-02T00:00:00"/>
    <x v="3"/>
    <s v="T-shirt"/>
    <x v="1"/>
    <x v="1"/>
    <n v="3200"/>
    <x v="0"/>
    <s v="Monday"/>
    <n v="-3200"/>
  </r>
  <r>
    <d v="2026-03-03T00:00:00"/>
    <x v="4"/>
    <s v="Internet"/>
    <x v="1"/>
    <x v="0"/>
    <n v="2500"/>
    <x v="0"/>
    <s v="Tuesday"/>
    <n v="-2500"/>
  </r>
  <r>
    <d v="2026-03-03T00:00:00"/>
    <x v="2"/>
    <s v="Train"/>
    <x v="1"/>
    <x v="2"/>
    <n v="300"/>
    <x v="0"/>
    <s v="Tuesday"/>
    <n v="-300"/>
  </r>
  <r>
    <d v="2026-03-04T00:00:00"/>
    <x v="4"/>
    <s v="Package"/>
    <x v="1"/>
    <x v="1"/>
    <n v="1598"/>
    <x v="0"/>
    <s v="Wednesday"/>
    <n v="-1598"/>
  </r>
  <r>
    <d v="2026-03-04T00:00:00"/>
    <x v="1"/>
    <s v="Coffee"/>
    <x v="1"/>
    <x v="2"/>
    <n v="180"/>
    <x v="0"/>
    <s v="Wednesday"/>
    <n v="-180"/>
  </r>
  <r>
    <d v="2026-03-05T00:00:00"/>
    <x v="2"/>
    <s v="Bus"/>
    <x v="1"/>
    <x v="2"/>
    <n v="100"/>
    <x v="0"/>
    <s v="Thursday"/>
    <n v="-100"/>
  </r>
  <r>
    <d v="2026-03-05T00:00:00"/>
    <x v="5"/>
    <s v="Movie"/>
    <x v="1"/>
    <x v="1"/>
    <n v="1800"/>
    <x v="0"/>
    <s v="Thursday"/>
    <n v="-1800"/>
  </r>
  <r>
    <d v="2026-03-06T00:00:00"/>
    <x v="1"/>
    <s v="Dinner"/>
    <x v="1"/>
    <x v="1"/>
    <n v="1450"/>
    <x v="0"/>
    <s v="Friday"/>
    <n v="-1450"/>
  </r>
  <r>
    <d v="2026-03-06T00:00:00"/>
    <x v="3"/>
    <s v="Shoes"/>
    <x v="1"/>
    <x v="1"/>
    <n v="5600"/>
    <x v="0"/>
    <s v="Friday"/>
    <n v="-5600"/>
  </r>
  <r>
    <d v="2026-03-07T00:00:00"/>
    <x v="3"/>
    <s v="Bag"/>
    <x v="1"/>
    <x v="1"/>
    <n v="6590"/>
    <x v="0"/>
    <s v="Saturday"/>
    <n v="-6590"/>
  </r>
  <r>
    <d v="2026-03-07T00:00:00"/>
    <x v="3"/>
    <s v="Top"/>
    <x v="1"/>
    <x v="1"/>
    <n v="2000"/>
    <x v="0"/>
    <s v="Saturday"/>
    <n v="-2000"/>
  </r>
  <r>
    <d v="2026-03-08T00:00:00"/>
    <x v="1"/>
    <s v="Pizza"/>
    <x v="1"/>
    <x v="2"/>
    <n v="2400"/>
    <x v="0"/>
    <s v="Sunday"/>
    <n v="-2400"/>
  </r>
  <r>
    <d v="2026-03-08T00:00:00"/>
    <x v="2"/>
    <s v="Taxi"/>
    <x v="1"/>
    <x v="2"/>
    <n v="950"/>
    <x v="0"/>
    <s v="Sunday"/>
    <n v="-950"/>
  </r>
  <r>
    <d v="2026-03-09T00:00:00"/>
    <x v="4"/>
    <s v="Electricity"/>
    <x v="1"/>
    <x v="0"/>
    <n v="4200"/>
    <x v="0"/>
    <s v="Monday"/>
    <n v="-4200"/>
  </r>
  <r>
    <d v="2026-03-09T00:00:00"/>
    <x v="1"/>
    <s v="Snacks"/>
    <x v="1"/>
    <x v="2"/>
    <n v="220"/>
    <x v="0"/>
    <s v="Monday"/>
    <n v="-220"/>
  </r>
  <r>
    <d v="2026-03-10T00:00:00"/>
    <x v="6"/>
    <s v="Medicine"/>
    <x v="1"/>
    <x v="1"/>
    <n v="980"/>
    <x v="0"/>
    <s v="Tuesday"/>
    <n v="-980"/>
  </r>
  <r>
    <d v="2026-03-10T00:00:00"/>
    <x v="2"/>
    <s v="Bus"/>
    <x v="1"/>
    <x v="2"/>
    <n v="120"/>
    <x v="0"/>
    <s v="Tuesday"/>
    <n v="-120"/>
  </r>
  <r>
    <d v="2026-03-11T00:00:00"/>
    <x v="1"/>
    <s v="Breakfast"/>
    <x v="1"/>
    <x v="2"/>
    <n v="350"/>
    <x v="0"/>
    <s v="Wednesday"/>
    <n v="-350"/>
  </r>
  <r>
    <d v="2026-03-11T00:00:00"/>
    <x v="5"/>
    <s v="Netflix"/>
    <x v="1"/>
    <x v="1"/>
    <n v="1500"/>
    <x v="0"/>
    <s v="Wednesday"/>
    <n v="-1500"/>
  </r>
  <r>
    <d v="2026-03-12T00:00:00"/>
    <x v="3"/>
    <s v="Jeans"/>
    <x v="1"/>
    <x v="1"/>
    <n v="4200"/>
    <x v="0"/>
    <s v="Thursday"/>
    <n v="-4200"/>
  </r>
  <r>
    <d v="2026-03-12T00:00:00"/>
    <x v="1"/>
    <s v="Juice"/>
    <x v="1"/>
    <x v="2"/>
    <n v="200"/>
    <x v="0"/>
    <s v="Thursday"/>
    <n v="-200"/>
  </r>
  <r>
    <d v="2026-03-13T00:00:00"/>
    <x v="1"/>
    <s v="Ramen"/>
    <x v="1"/>
    <x v="2"/>
    <n v="660"/>
    <x v="0"/>
    <s v="Friday"/>
    <n v="-660"/>
  </r>
  <r>
    <d v="2026-03-13T00:00:00"/>
    <x v="2"/>
    <s v="Bus"/>
    <x v="1"/>
    <x v="2"/>
    <n v="200"/>
    <x v="0"/>
    <s v="Friday"/>
    <n v="-200"/>
  </r>
  <r>
    <d v="2026-03-14T00:00:00"/>
    <x v="4"/>
    <s v="Water Bill"/>
    <x v="1"/>
    <x v="0"/>
    <n v="1100"/>
    <x v="0"/>
    <s v="Saturday"/>
    <n v="-1100"/>
  </r>
  <r>
    <d v="2026-03-14T00:00:00"/>
    <x v="3"/>
    <s v="Makeup"/>
    <x v="1"/>
    <x v="1"/>
    <n v="2750"/>
    <x v="0"/>
    <s v="Saturday"/>
    <n v="-2750"/>
  </r>
  <r>
    <d v="2026-03-15T00:00:00"/>
    <x v="1"/>
    <s v="Burger"/>
    <x v="1"/>
    <x v="1"/>
    <n v="890"/>
    <x v="0"/>
    <s v="Sunday"/>
    <n v="-890"/>
  </r>
  <r>
    <d v="2026-03-15T00:00:00"/>
    <x v="5"/>
    <s v="Game"/>
    <x v="1"/>
    <x v="1"/>
    <n v="3500"/>
    <x v="0"/>
    <s v="Sunday"/>
    <n v="-3500"/>
  </r>
  <r>
    <d v="2026-03-16T00:00:00"/>
    <x v="2"/>
    <s v="Tuk Tuk"/>
    <x v="1"/>
    <x v="2"/>
    <n v="450"/>
    <x v="0"/>
    <s v="Monday"/>
    <n v="-450"/>
  </r>
  <r>
    <d v="2026-03-16T00:00:00"/>
    <x v="1"/>
    <s v="Ice Cream"/>
    <x v="1"/>
    <x v="2"/>
    <n v="300"/>
    <x v="0"/>
    <s v="Monday"/>
    <n v="-300"/>
  </r>
  <r>
    <d v="2026-03-17T00:00:00"/>
    <x v="3"/>
    <s v="Dress"/>
    <x v="1"/>
    <x v="1"/>
    <n v="4800"/>
    <x v="0"/>
    <s v="Tuesday"/>
    <n v="-4800"/>
  </r>
  <r>
    <d v="2026-03-17T00:00:00"/>
    <x v="4"/>
    <s v="Mobile Reload"/>
    <x v="1"/>
    <x v="1"/>
    <n v="1000"/>
    <x v="0"/>
    <s v="Tuesday"/>
    <n v="-1000"/>
  </r>
  <r>
    <d v="2026-03-18T00:00:00"/>
    <x v="2"/>
    <s v="Bus"/>
    <x v="1"/>
    <x v="2"/>
    <n v="200"/>
    <x v="0"/>
    <s v="Wednesday"/>
    <n v="-200"/>
  </r>
  <r>
    <d v="2026-03-18T00:00:00"/>
    <x v="1"/>
    <s v="Rice &amp; Curry"/>
    <x v="1"/>
    <x v="2"/>
    <n v="750"/>
    <x v="0"/>
    <s v="Wednesday"/>
    <n v="-750"/>
  </r>
  <r>
    <d v="2026-03-19T00:00:00"/>
    <x v="7"/>
    <s v="Freelance"/>
    <x v="0"/>
    <x v="0"/>
    <n v="12000"/>
    <x v="0"/>
    <s v="Thursday"/>
    <n v="12000"/>
  </r>
  <r>
    <d v="2026-03-19T00:00:00"/>
    <x v="1"/>
    <s v="Coffee"/>
    <x v="1"/>
    <x v="2"/>
    <n v="250"/>
    <x v="0"/>
    <s v="Thursday"/>
    <n v="-250"/>
  </r>
  <r>
    <d v="2026-03-20T00:00:00"/>
    <x v="3"/>
    <s v="Headphones"/>
    <x v="1"/>
    <x v="1"/>
    <n v="8900"/>
    <x v="0"/>
    <s v="Friday"/>
    <n v="-8900"/>
  </r>
  <r>
    <d v="2026-03-20T00:00:00"/>
    <x v="2"/>
    <s v="Train"/>
    <x v="1"/>
    <x v="2"/>
    <n v="180"/>
    <x v="0"/>
    <s v="Friday"/>
    <n v="-180"/>
  </r>
  <r>
    <d v="2026-03-21T00:00:00"/>
    <x v="4"/>
    <s v="Rent"/>
    <x v="1"/>
    <x v="0"/>
    <n v="15000"/>
    <x v="0"/>
    <s v="Saturday"/>
    <n v="-15000"/>
  </r>
  <r>
    <d v="2026-03-21T00:00:00"/>
    <x v="1"/>
    <s v="Dinner"/>
    <x v="1"/>
    <x v="1"/>
    <n v="1350"/>
    <x v="0"/>
    <s v="Saturday"/>
    <n v="-1350"/>
  </r>
  <r>
    <d v="2026-03-22T00:00:00"/>
    <x v="5"/>
    <s v="Concert"/>
    <x v="1"/>
    <x v="1"/>
    <n v="6500"/>
    <x v="0"/>
    <s v="Sunday"/>
    <n v="-6500"/>
  </r>
  <r>
    <d v="2026-03-22T00:00:00"/>
    <x v="1"/>
    <s v="Snacks"/>
    <x v="1"/>
    <x v="2"/>
    <n v="190"/>
    <x v="0"/>
    <s v="Sunday"/>
    <n v="-190"/>
  </r>
  <r>
    <d v="2026-03-23T00:00:00"/>
    <x v="6"/>
    <s v="Doctor"/>
    <x v="1"/>
    <x v="2"/>
    <n v="2500"/>
    <x v="0"/>
    <s v="Monday"/>
    <n v="-2500"/>
  </r>
  <r>
    <d v="2026-03-23T00:00:00"/>
    <x v="2"/>
    <s v="Bus"/>
    <x v="1"/>
    <x v="2"/>
    <n v="100"/>
    <x v="0"/>
    <s v="Monday"/>
    <n v="-100"/>
  </r>
  <r>
    <d v="2026-03-24T00:00:00"/>
    <x v="3"/>
    <s v="Watch"/>
    <x v="1"/>
    <x v="1"/>
    <n v="7200"/>
    <x v="0"/>
    <s v="Tuesday"/>
    <n v="-7200"/>
  </r>
  <r>
    <d v="2026-03-24T00:00:00"/>
    <x v="1"/>
    <s v="Lunch"/>
    <x v="1"/>
    <x v="1"/>
    <n v="980"/>
    <x v="0"/>
    <s v="Tuesday"/>
    <n v="-980"/>
  </r>
  <r>
    <d v="2026-03-25T00:00:00"/>
    <x v="4"/>
    <s v="WiFi"/>
    <x v="1"/>
    <x v="0"/>
    <n v="2900"/>
    <x v="0"/>
    <s v="Wednesday"/>
    <n v="-2900"/>
  </r>
  <r>
    <d v="2026-03-25T00:00:00"/>
    <x v="5"/>
    <s v="Spotify"/>
    <x v="1"/>
    <x v="1"/>
    <n v="999"/>
    <x v="0"/>
    <s v="Wednesday"/>
    <n v="-999"/>
  </r>
  <r>
    <d v="2026-03-26T00:00:00"/>
    <x v="7"/>
    <s v="Intern"/>
    <x v="0"/>
    <x v="0"/>
    <n v="20000"/>
    <x v="0"/>
    <s v="Thursday"/>
    <n v="20000"/>
  </r>
  <r>
    <d v="2026-03-26T00:00:00"/>
    <x v="1"/>
    <s v="Bubble Tea"/>
    <x v="1"/>
    <x v="2"/>
    <n v="450"/>
    <x v="0"/>
    <s v="Thursday"/>
    <n v="-450"/>
  </r>
  <r>
    <d v="2026-03-27T00:00:00"/>
    <x v="4"/>
    <s v="TV Package"/>
    <x v="1"/>
    <x v="1"/>
    <n v="100"/>
    <x v="0"/>
    <s v="Friday"/>
    <n v="-100"/>
  </r>
  <r>
    <d v="2026-03-27T00:00:00"/>
    <x v="2"/>
    <s v="Taxi"/>
    <x v="1"/>
    <x v="2"/>
    <n v="1250"/>
    <x v="0"/>
    <s v="Friday"/>
    <n v="-1250"/>
  </r>
  <r>
    <d v="2026-03-28T00:00:00"/>
    <x v="2"/>
    <s v="Bus"/>
    <x v="1"/>
    <x v="2"/>
    <n v="100"/>
    <x v="0"/>
    <s v="Saturday"/>
    <n v="-100"/>
  </r>
  <r>
    <d v="2026-03-28T00:00:00"/>
    <x v="1"/>
    <s v="Kottu"/>
    <x v="1"/>
    <x v="2"/>
    <n v="1200"/>
    <x v="0"/>
    <s v="Saturday"/>
    <n v="-1200"/>
  </r>
  <r>
    <d v="2026-03-29T00:00:00"/>
    <x v="3"/>
    <s v="Perfume"/>
    <x v="1"/>
    <x v="1"/>
    <n v="5400"/>
    <x v="0"/>
    <s v="Sunday"/>
    <n v="-5400"/>
  </r>
  <r>
    <d v="2026-03-29T00:00:00"/>
    <x v="5"/>
    <s v="Cinema"/>
    <x v="1"/>
    <x v="1"/>
    <n v="2200"/>
    <x v="0"/>
    <s v="Sunday"/>
    <n v="-2200"/>
  </r>
  <r>
    <d v="2026-03-30T00:00:00"/>
    <x v="1"/>
    <s v="Dinner"/>
    <x v="1"/>
    <x v="1"/>
    <n v="1700"/>
    <x v="0"/>
    <s v="Monday"/>
    <n v="-1700"/>
  </r>
  <r>
    <d v="2026-03-30T00:00:00"/>
    <x v="2"/>
    <s v="Train"/>
    <x v="1"/>
    <x v="2"/>
    <n v="250"/>
    <x v="0"/>
    <s v="Monday"/>
    <n v="-250"/>
  </r>
  <r>
    <d v="2026-03-31T00:00:00"/>
    <x v="7"/>
    <s v="Bonus"/>
    <x v="0"/>
    <x v="0"/>
    <n v="8000"/>
    <x v="0"/>
    <s v="Tuesday"/>
    <n v="8000"/>
  </r>
  <r>
    <d v="2026-03-31T00:00:00"/>
    <x v="4"/>
    <s v="Electricity"/>
    <x v="1"/>
    <x v="0"/>
    <n v="3900"/>
    <x v="0"/>
    <s v="Tuesday"/>
    <n v="-3900"/>
  </r>
  <r>
    <d v="2026-04-01T00:00:00"/>
    <x v="1"/>
    <s v="Snacks"/>
    <x v="1"/>
    <x v="2"/>
    <n v="280"/>
    <x v="1"/>
    <s v="Wednesday"/>
    <n v="-280"/>
  </r>
  <r>
    <d v="2026-04-01T00:00:00"/>
    <x v="3"/>
    <s v="Backpack"/>
    <x v="1"/>
    <x v="1"/>
    <n v="4300"/>
    <x v="1"/>
    <s v="Wednesday"/>
    <n v="-4300"/>
  </r>
  <r>
    <d v="2026-04-02T00:00:00"/>
    <x v="2"/>
    <s v="Bus"/>
    <x v="1"/>
    <x v="2"/>
    <n v="120"/>
    <x v="1"/>
    <s v="Thursday"/>
    <n v="-120"/>
  </r>
  <r>
    <d v="2026-04-02T00:00:00"/>
    <x v="5"/>
    <s v="YouTube Premium"/>
    <x v="1"/>
    <x v="1"/>
    <n v="1200"/>
    <x v="1"/>
    <s v="Thursday"/>
    <n v="-1200"/>
  </r>
  <r>
    <d v="2026-04-03T00:00:00"/>
    <x v="1"/>
    <s v="Pizza"/>
    <x v="1"/>
    <x v="1"/>
    <n v="2600"/>
    <x v="1"/>
    <s v="Friday"/>
    <n v="-2600"/>
  </r>
  <r>
    <d v="2026-04-03T00:00:00"/>
    <x v="4"/>
    <s v="Internet"/>
    <x v="1"/>
    <x v="0"/>
    <n v="2500"/>
    <x v="1"/>
    <s v="Friday"/>
    <n v="-2500"/>
  </r>
  <r>
    <d v="2026-04-04T00:00:00"/>
    <x v="3"/>
    <s v="Sunglasses"/>
    <x v="1"/>
    <x v="1"/>
    <n v="3100"/>
    <x v="1"/>
    <s v="Saturday"/>
    <n v="-3100"/>
  </r>
  <r>
    <d v="2026-04-04T00:00:00"/>
    <x v="1"/>
    <s v="Juice"/>
    <x v="1"/>
    <x v="2"/>
    <n v="220"/>
    <x v="1"/>
    <s v="Saturday"/>
    <n v="-220"/>
  </r>
  <r>
    <d v="2026-04-05T00:00:00"/>
    <x v="2"/>
    <s v="Taxi"/>
    <x v="1"/>
    <x v="2"/>
    <n v="800"/>
    <x v="1"/>
    <s v="Sunday"/>
    <n v="-800"/>
  </r>
  <r>
    <d v="2026-04-05T00:00:00"/>
    <x v="6"/>
    <s v="Vitamins"/>
    <x v="1"/>
    <x v="1"/>
    <n v="1500"/>
    <x v="1"/>
    <s v="Sunday"/>
    <n v="-1500"/>
  </r>
  <r>
    <d v="2026-04-06T00:00:00"/>
    <x v="1"/>
    <s v="Breakfast"/>
    <x v="1"/>
    <x v="2"/>
    <n v="420"/>
    <x v="1"/>
    <s v="Monday"/>
    <n v="-420"/>
  </r>
  <r>
    <d v="2026-04-06T00:00:00"/>
    <x v="5"/>
    <s v="Theme Park"/>
    <x v="1"/>
    <x v="1"/>
    <n v="7800"/>
    <x v="1"/>
    <s v="Monday"/>
    <n v="-7800"/>
  </r>
  <r>
    <d v="2026-04-07T00:00:00"/>
    <x v="7"/>
    <s v="Part Time"/>
    <x v="0"/>
    <x v="0"/>
    <n v="10000"/>
    <x v="1"/>
    <s v="Tuesday"/>
    <n v="10000"/>
  </r>
  <r>
    <d v="2026-04-07T00:00:00"/>
    <x v="3"/>
    <s v="Hoodie"/>
    <x v="1"/>
    <x v="1"/>
    <n v="3600"/>
    <x v="1"/>
    <s v="Tuesday"/>
    <n v="-3600"/>
  </r>
  <r>
    <d v="2026-04-08T00:00:00"/>
    <x v="4"/>
    <s v="Water Bill"/>
    <x v="1"/>
    <x v="0"/>
    <n v="1200"/>
    <x v="1"/>
    <s v="Wednesday"/>
    <n v="-1200"/>
  </r>
  <r>
    <d v="2026-04-08T00:00:00"/>
    <x v="1"/>
    <s v="Lunch"/>
    <x v="1"/>
    <x v="1"/>
    <n v="950"/>
    <x v="1"/>
    <s v="Wednesday"/>
    <n v="-950"/>
  </r>
  <r>
    <d v="2026-04-09T00:00:00"/>
    <x v="2"/>
    <s v="Bus"/>
    <x v="1"/>
    <x v="2"/>
    <n v="150"/>
    <x v="1"/>
    <s v="Thursday"/>
    <n v="-150"/>
  </r>
  <r>
    <d v="2026-04-09T00:00:00"/>
    <x v="3"/>
    <s v="Keyboard"/>
    <x v="1"/>
    <x v="1"/>
    <n v="6400"/>
    <x v="1"/>
    <s v="Thursday"/>
    <n v="-6400"/>
  </r>
  <r>
    <d v="2026-04-10T00:00:00"/>
    <x v="1"/>
    <s v="Coffee"/>
    <x v="1"/>
    <x v="2"/>
    <n v="180"/>
    <x v="1"/>
    <s v="Friday"/>
    <n v="-180"/>
  </r>
  <r>
    <d v="2026-04-10T00:00:00"/>
    <x v="5"/>
    <s v="Movie"/>
    <x v="1"/>
    <x v="1"/>
    <n v="2000"/>
    <x v="1"/>
    <s v="Friday"/>
    <n v="-2000"/>
  </r>
  <r>
    <d v="2026-04-11T00:00:00"/>
    <x v="4"/>
    <s v="Mobile Reload"/>
    <x v="1"/>
    <x v="1"/>
    <n v="750"/>
    <x v="1"/>
    <s v="Saturday"/>
    <n v="-750"/>
  </r>
  <r>
    <d v="2026-04-11T00:00:00"/>
    <x v="1"/>
    <s v="Burger"/>
    <x v="1"/>
    <x v="1"/>
    <n v="1100"/>
    <x v="1"/>
    <s v="Saturday"/>
    <n v="-1100"/>
  </r>
  <r>
    <d v="2026-04-12T00:00:00"/>
    <x v="3"/>
    <s v="Earrings"/>
    <x v="1"/>
    <x v="1"/>
    <n v="2500"/>
    <x v="1"/>
    <s v="Sunday"/>
    <n v="-2500"/>
  </r>
  <r>
    <d v="2026-04-12T00:00:00"/>
    <x v="2"/>
    <s v="Train"/>
    <x v="1"/>
    <x v="2"/>
    <n v="220"/>
    <x v="1"/>
    <s v="Sunday"/>
    <n v="-220"/>
  </r>
  <r>
    <d v="2026-04-13T00:00:00"/>
    <x v="6"/>
    <s v="Clinic"/>
    <x v="1"/>
    <x v="2"/>
    <n v="3200"/>
    <x v="1"/>
    <s v="Monday"/>
    <n v="-3200"/>
  </r>
  <r>
    <d v="2026-04-13T00:00:00"/>
    <x v="1"/>
    <s v="Ice Coffee"/>
    <x v="1"/>
    <x v="2"/>
    <n v="350"/>
    <x v="1"/>
    <s v="Monday"/>
    <n v="-350"/>
  </r>
  <r>
    <d v="2026-04-14T00:00:00"/>
    <x v="7"/>
    <s v="Freelance"/>
    <x v="0"/>
    <x v="0"/>
    <n v="15000"/>
    <x v="1"/>
    <s v="Tuesday"/>
    <n v="15000"/>
  </r>
  <r>
    <d v="2026-04-14T00:00:00"/>
    <x v="3"/>
    <s v="Laptop Bag"/>
    <x v="1"/>
    <x v="1"/>
    <n v="4900"/>
    <x v="1"/>
    <s v="Tuesday"/>
    <n v="-4900"/>
  </r>
  <r>
    <d v="2026-04-15T00:00:00"/>
    <x v="4"/>
    <s v="Rent"/>
    <x v="1"/>
    <x v="0"/>
    <n v="15000"/>
    <x v="1"/>
    <s v="Wednesday"/>
    <n v="-15000"/>
  </r>
  <r>
    <d v="2026-04-15T00:00:00"/>
    <x v="1"/>
    <s v="Dinner"/>
    <x v="1"/>
    <x v="1"/>
    <n v="1750"/>
    <x v="1"/>
    <s v="Wednesday"/>
    <n v="-1750"/>
  </r>
  <r>
    <d v="2026-04-16T00:00:00"/>
    <x v="2"/>
    <s v="Bus"/>
    <x v="1"/>
    <x v="2"/>
    <n v="100"/>
    <x v="1"/>
    <s v="Thursday"/>
    <n v="-100"/>
  </r>
  <r>
    <d v="2026-04-16T00:00:00"/>
    <x v="5"/>
    <s v="Concert"/>
    <x v="1"/>
    <x v="1"/>
    <n v="5000"/>
    <x v="1"/>
    <s v="Thursday"/>
    <n v="-5000"/>
  </r>
  <r>
    <d v="2026-04-17T00:00:00"/>
    <x v="1"/>
    <s v="Snacks"/>
    <x v="1"/>
    <x v="2"/>
    <n v="210"/>
    <x v="1"/>
    <s v="Friday"/>
    <n v="-210"/>
  </r>
  <r>
    <d v="2026-04-17T00:00:00"/>
    <x v="3"/>
    <s v="Sandals"/>
    <x v="1"/>
    <x v="1"/>
    <n v="2700"/>
    <x v="1"/>
    <s v="Friday"/>
    <n v="-2700"/>
  </r>
  <r>
    <d v="2026-04-18T00:00:00"/>
    <x v="4"/>
    <s v="WiFi"/>
    <x v="1"/>
    <x v="0"/>
    <n v="2900"/>
    <x v="1"/>
    <s v="Saturday"/>
    <n v="-2900"/>
  </r>
  <r>
    <d v="2026-04-18T00:00:00"/>
    <x v="1"/>
    <s v="Lunch"/>
    <x v="1"/>
    <x v="1"/>
    <n v="850"/>
    <x v="1"/>
    <s v="Saturday"/>
    <n v="-850"/>
  </r>
  <r>
    <d v="2026-04-19T00:00:00"/>
    <x v="2"/>
    <s v="Taxi"/>
    <x v="1"/>
    <x v="2"/>
    <n v="990"/>
    <x v="1"/>
    <s v="Sunday"/>
    <n v="-990"/>
  </r>
  <r>
    <d v="2026-04-19T00:00:00"/>
    <x v="5"/>
    <s v="Netflix"/>
    <x v="1"/>
    <x v="1"/>
    <n v="1500"/>
    <x v="1"/>
    <s v="Sunday"/>
    <n v="-1500"/>
  </r>
  <r>
    <d v="2026-04-20T00:00:00"/>
    <x v="7"/>
    <s v="Allowance"/>
    <x v="0"/>
    <x v="0"/>
    <n v="7000"/>
    <x v="1"/>
    <s v="Monday"/>
    <n v="7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D0939-404B-4C7E-A75D-72D91E28A44C}" name="PivotTable9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D9:E13" firstHeaderRow="1" firstDataRow="1" firstDataCol="1"/>
  <pivotFields count="9"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5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D88020-5E53-42A5-A8AC-3F4266FA1910}" name="PivotTable8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A12:B15" firstHeaderRow="1" firstDataRow="1" firstDataCol="1"/>
  <pivotFields count="9">
    <pivotField numFmtId="14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Amount" fld="5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F9D9E-6EA9-454A-A42B-8C9FC655F8DA}" name="PivotTable7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3">
  <location ref="D3:E6" firstHeaderRow="1" firstDataRow="1" firstDataCol="1" rowPageCount="1" colPageCount="1"/>
  <pivotFields count="9">
    <pivotField numFmtId="14"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pageFields count="1">
    <pageField fld="3" hier="-1"/>
  </pageFields>
  <dataFields count="1">
    <dataField name="Sum of Amount" fld="5" baseField="0" baseItem="0"/>
  </dataFields>
  <chartFormats count="1"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76B91-36EA-4021-BE61-986604760848}" name="PivotTable1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3:B10" firstHeaderRow="1" firstDataRow="1" firstDataCol="1" rowPageCount="1" colPageCount="1"/>
  <pivotFields count="9">
    <pivotField numFmtId="14" showAll="0"/>
    <pivotField axis="axisRow" showAll="0">
      <items count="9">
        <item x="4"/>
        <item x="5"/>
        <item x="1"/>
        <item x="6"/>
        <item x="0"/>
        <item x="7"/>
        <item x="3"/>
        <item x="2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6"/>
    </i>
    <i>
      <x v="7"/>
    </i>
    <i t="grand">
      <x/>
    </i>
  </rowItems>
  <colItems count="1">
    <i/>
  </colItems>
  <pageFields count="1">
    <pageField fld="3" item="0" hier="-1"/>
  </pageFields>
  <dataFields count="1">
    <dataField name="Sum of Amount" fld="5" baseField="0" baseItem="0"/>
  </dataField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8DF5EC-60EA-4986-BCA5-6CFAAC92A2CD}" name="finance_data" displayName="finance_data" ref="A1:I103" totalsRowShown="0" headerRowDxfId="10" dataDxfId="9">
  <autoFilter ref="A1:I103" xr:uid="{158DF5EC-60EA-4986-BCA5-6CFAAC92A2CD}"/>
  <tableColumns count="9">
    <tableColumn id="1" xr3:uid="{B26B2D92-DE2D-428C-B5AC-13342EFECD5E}" name="Date" dataDxfId="8"/>
    <tableColumn id="2" xr3:uid="{E8F59E67-0CB3-4AD3-AAC0-04D05E91AC5B}" name="Category" dataDxfId="7"/>
    <tableColumn id="3" xr3:uid="{33FBEC53-C68B-4ED7-BD6F-7995F8EF3531}" name="Description" dataDxfId="6"/>
    <tableColumn id="4" xr3:uid="{AA6DCA49-AB4C-438F-9804-F59C0A164615}" name="Type" dataDxfId="5"/>
    <tableColumn id="5" xr3:uid="{F1509CC7-B6E7-4E18-986E-20263436CF4C}" name="Payment" dataDxfId="4"/>
    <tableColumn id="6" xr3:uid="{90DCD276-8E97-419F-B6B1-C011FA250442}" name="Amount" dataDxfId="3"/>
    <tableColumn id="7" xr3:uid="{FD6DED7D-77DA-458B-AEE8-16999211C2B3}" name="Month" dataDxfId="2">
      <calculatedColumnFormula>TEXT(finance_data[[#This Row],[Date]],"mmmm")</calculatedColumnFormula>
    </tableColumn>
    <tableColumn id="8" xr3:uid="{03443329-4EB8-47AC-8B15-40289A48CF95}" name="Weekday" dataDxfId="1">
      <calculatedColumnFormula>TEXT(finance_data[[#This Row],[Date]],"dddd")</calculatedColumnFormula>
    </tableColumn>
    <tableColumn id="9" xr3:uid="{BB97D150-18CF-498D-B817-1CE260E386F6}" name="Net Amount" dataDxfId="0">
      <calculatedColumnFormula>IF(finance_data[[#This Row],[Type]]="Expense",-finance_data[[#This Row],[Amount]],finance_data[[#This Row],[Amount]])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BFFCD-10C8-48F2-A1C1-B901B052E5E5}">
  <dimension ref="A1:F103"/>
  <sheetViews>
    <sheetView workbookViewId="0">
      <selection activeCell="B22" sqref="B22"/>
    </sheetView>
  </sheetViews>
  <sheetFormatPr defaultRowHeight="14.4" x14ac:dyDescent="0.3"/>
  <cols>
    <col min="1" max="1" width="9.5546875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46082</v>
      </c>
      <c r="B2" s="3" t="s">
        <v>6</v>
      </c>
      <c r="C2" s="3" t="s">
        <v>7</v>
      </c>
      <c r="D2" s="3" t="s">
        <v>8</v>
      </c>
      <c r="E2" s="3" t="s">
        <v>9</v>
      </c>
      <c r="F2" s="3">
        <v>18600</v>
      </c>
    </row>
    <row r="3" spans="1:6" x14ac:dyDescent="0.3">
      <c r="A3" s="2">
        <v>46082</v>
      </c>
      <c r="B3" s="3" t="s">
        <v>10</v>
      </c>
      <c r="C3" s="3" t="s">
        <v>12</v>
      </c>
      <c r="D3" s="3" t="s">
        <v>13</v>
      </c>
      <c r="E3" s="3" t="s">
        <v>14</v>
      </c>
      <c r="F3" s="3">
        <v>250</v>
      </c>
    </row>
    <row r="4" spans="1:6" x14ac:dyDescent="0.3">
      <c r="A4" s="2">
        <v>46082</v>
      </c>
      <c r="B4" s="3" t="s">
        <v>11</v>
      </c>
      <c r="C4" s="3" t="s">
        <v>15</v>
      </c>
      <c r="D4" s="3" t="s">
        <v>13</v>
      </c>
      <c r="E4" s="3" t="s">
        <v>16</v>
      </c>
      <c r="F4" s="3">
        <v>1220</v>
      </c>
    </row>
    <row r="5" spans="1:6" x14ac:dyDescent="0.3">
      <c r="A5" s="2">
        <v>46083</v>
      </c>
      <c r="B5" s="3" t="s">
        <v>10</v>
      </c>
      <c r="C5" s="3" t="s">
        <v>25</v>
      </c>
      <c r="D5" s="3" t="s">
        <v>13</v>
      </c>
      <c r="E5" s="3" t="s">
        <v>14</v>
      </c>
      <c r="F5" s="3">
        <v>850</v>
      </c>
    </row>
    <row r="6" spans="1:6" x14ac:dyDescent="0.3">
      <c r="A6" s="2">
        <v>46083</v>
      </c>
      <c r="B6" s="3" t="s">
        <v>22</v>
      </c>
      <c r="C6" s="3" t="s">
        <v>26</v>
      </c>
      <c r="D6" s="3" t="s">
        <v>13</v>
      </c>
      <c r="E6" s="3" t="s">
        <v>14</v>
      </c>
      <c r="F6" s="3">
        <v>3200</v>
      </c>
    </row>
    <row r="7" spans="1:6" x14ac:dyDescent="0.3">
      <c r="A7" s="2">
        <v>46084</v>
      </c>
      <c r="B7" s="3" t="s">
        <v>17</v>
      </c>
      <c r="C7" s="3" t="s">
        <v>27</v>
      </c>
      <c r="D7" s="3" t="s">
        <v>13</v>
      </c>
      <c r="E7" s="3" t="s">
        <v>9</v>
      </c>
      <c r="F7" s="3">
        <v>2500</v>
      </c>
    </row>
    <row r="8" spans="1:6" x14ac:dyDescent="0.3">
      <c r="A8" s="2">
        <v>46084</v>
      </c>
      <c r="B8" s="3" t="s">
        <v>11</v>
      </c>
      <c r="C8" s="3" t="s">
        <v>28</v>
      </c>
      <c r="D8" s="3" t="s">
        <v>13</v>
      </c>
      <c r="E8" s="3" t="s">
        <v>16</v>
      </c>
      <c r="F8" s="3">
        <v>300</v>
      </c>
    </row>
    <row r="9" spans="1:6" x14ac:dyDescent="0.3">
      <c r="A9" s="2">
        <v>46085</v>
      </c>
      <c r="B9" s="3" t="s">
        <v>17</v>
      </c>
      <c r="C9" s="3" t="s">
        <v>18</v>
      </c>
      <c r="D9" s="3" t="s">
        <v>13</v>
      </c>
      <c r="E9" s="3" t="s">
        <v>14</v>
      </c>
      <c r="F9" s="3">
        <v>1598</v>
      </c>
    </row>
    <row r="10" spans="1:6" x14ac:dyDescent="0.3">
      <c r="A10" s="2">
        <v>46085</v>
      </c>
      <c r="B10" s="3" t="s">
        <v>10</v>
      </c>
      <c r="C10" s="3" t="s">
        <v>29</v>
      </c>
      <c r="D10" s="3" t="s">
        <v>13</v>
      </c>
      <c r="E10" s="3" t="s">
        <v>16</v>
      </c>
      <c r="F10" s="3">
        <v>180</v>
      </c>
    </row>
    <row r="11" spans="1:6" x14ac:dyDescent="0.3">
      <c r="A11" s="2">
        <v>46086</v>
      </c>
      <c r="B11" s="3" t="s">
        <v>11</v>
      </c>
      <c r="C11" s="3" t="s">
        <v>15</v>
      </c>
      <c r="D11" s="3" t="s">
        <v>13</v>
      </c>
      <c r="E11" s="3" t="s">
        <v>16</v>
      </c>
      <c r="F11" s="3">
        <v>100</v>
      </c>
    </row>
    <row r="12" spans="1:6" ht="28.8" x14ac:dyDescent="0.3">
      <c r="A12" s="2">
        <v>46086</v>
      </c>
      <c r="B12" s="3" t="s">
        <v>30</v>
      </c>
      <c r="C12" s="3" t="s">
        <v>31</v>
      </c>
      <c r="D12" s="3" t="s">
        <v>13</v>
      </c>
      <c r="E12" s="3" t="s">
        <v>14</v>
      </c>
      <c r="F12" s="3">
        <v>1800</v>
      </c>
    </row>
    <row r="13" spans="1:6" x14ac:dyDescent="0.3">
      <c r="A13" s="2">
        <v>46087</v>
      </c>
      <c r="B13" s="3" t="s">
        <v>10</v>
      </c>
      <c r="C13" s="3" t="s">
        <v>32</v>
      </c>
      <c r="D13" s="3" t="s">
        <v>13</v>
      </c>
      <c r="E13" s="3" t="s">
        <v>14</v>
      </c>
      <c r="F13" s="3">
        <v>1450</v>
      </c>
    </row>
    <row r="14" spans="1:6" x14ac:dyDescent="0.3">
      <c r="A14" s="2">
        <v>46087</v>
      </c>
      <c r="B14" s="3" t="s">
        <v>22</v>
      </c>
      <c r="C14" s="3" t="s">
        <v>33</v>
      </c>
      <c r="D14" s="3" t="s">
        <v>13</v>
      </c>
      <c r="E14" s="3" t="s">
        <v>14</v>
      </c>
      <c r="F14" s="3">
        <v>5600</v>
      </c>
    </row>
    <row r="15" spans="1:6" x14ac:dyDescent="0.3">
      <c r="A15" s="2">
        <v>46088</v>
      </c>
      <c r="B15" s="3" t="s">
        <v>22</v>
      </c>
      <c r="C15" s="3" t="s">
        <v>19</v>
      </c>
      <c r="D15" s="3" t="s">
        <v>13</v>
      </c>
      <c r="E15" s="3" t="s">
        <v>14</v>
      </c>
      <c r="F15" s="3">
        <v>6590</v>
      </c>
    </row>
    <row r="16" spans="1:6" x14ac:dyDescent="0.3">
      <c r="A16" s="2">
        <v>46088</v>
      </c>
      <c r="B16" s="3" t="s">
        <v>22</v>
      </c>
      <c r="C16" s="3" t="s">
        <v>20</v>
      </c>
      <c r="D16" s="3" t="s">
        <v>13</v>
      </c>
      <c r="E16" s="3" t="s">
        <v>14</v>
      </c>
      <c r="F16" s="3">
        <v>2000</v>
      </c>
    </row>
    <row r="17" spans="1:6" x14ac:dyDescent="0.3">
      <c r="A17" s="2">
        <v>46089</v>
      </c>
      <c r="B17" s="3" t="s">
        <v>10</v>
      </c>
      <c r="C17" s="3" t="s">
        <v>34</v>
      </c>
      <c r="D17" s="3" t="s">
        <v>13</v>
      </c>
      <c r="E17" s="3" t="s">
        <v>16</v>
      </c>
      <c r="F17" s="3">
        <v>2400</v>
      </c>
    </row>
    <row r="18" spans="1:6" x14ac:dyDescent="0.3">
      <c r="A18" s="2">
        <v>46089</v>
      </c>
      <c r="B18" s="3" t="s">
        <v>11</v>
      </c>
      <c r="C18" s="3" t="s">
        <v>35</v>
      </c>
      <c r="D18" s="3" t="s">
        <v>13</v>
      </c>
      <c r="E18" s="3" t="s">
        <v>16</v>
      </c>
      <c r="F18" s="3">
        <v>950</v>
      </c>
    </row>
    <row r="19" spans="1:6" ht="28.8" x14ac:dyDescent="0.3">
      <c r="A19" s="2">
        <v>46090</v>
      </c>
      <c r="B19" s="3" t="s">
        <v>17</v>
      </c>
      <c r="C19" s="3" t="s">
        <v>36</v>
      </c>
      <c r="D19" s="3" t="s">
        <v>13</v>
      </c>
      <c r="E19" s="3" t="s">
        <v>9</v>
      </c>
      <c r="F19" s="3">
        <v>4200</v>
      </c>
    </row>
    <row r="20" spans="1:6" x14ac:dyDescent="0.3">
      <c r="A20" s="2">
        <v>46090</v>
      </c>
      <c r="B20" s="3" t="s">
        <v>10</v>
      </c>
      <c r="C20" s="3" t="s">
        <v>12</v>
      </c>
      <c r="D20" s="3" t="s">
        <v>13</v>
      </c>
      <c r="E20" s="3" t="s">
        <v>16</v>
      </c>
      <c r="F20" s="3">
        <v>220</v>
      </c>
    </row>
    <row r="21" spans="1:6" x14ac:dyDescent="0.3">
      <c r="A21" s="2">
        <v>46091</v>
      </c>
      <c r="B21" s="3" t="s">
        <v>37</v>
      </c>
      <c r="C21" s="3" t="s">
        <v>38</v>
      </c>
      <c r="D21" s="3" t="s">
        <v>13</v>
      </c>
      <c r="E21" s="3" t="s">
        <v>14</v>
      </c>
      <c r="F21" s="3">
        <v>980</v>
      </c>
    </row>
    <row r="22" spans="1:6" x14ac:dyDescent="0.3">
      <c r="A22" s="2">
        <v>46091</v>
      </c>
      <c r="B22" s="3" t="s">
        <v>11</v>
      </c>
      <c r="C22" s="3" t="s">
        <v>15</v>
      </c>
      <c r="D22" s="3" t="s">
        <v>13</v>
      </c>
      <c r="E22" s="3" t="s">
        <v>16</v>
      </c>
      <c r="F22" s="3">
        <v>120</v>
      </c>
    </row>
    <row r="23" spans="1:6" x14ac:dyDescent="0.3">
      <c r="A23" s="2">
        <v>46092</v>
      </c>
      <c r="B23" s="3" t="s">
        <v>10</v>
      </c>
      <c r="C23" s="3" t="s">
        <v>39</v>
      </c>
      <c r="D23" s="3" t="s">
        <v>13</v>
      </c>
      <c r="E23" s="3" t="s">
        <v>16</v>
      </c>
      <c r="F23" s="3">
        <v>350</v>
      </c>
    </row>
    <row r="24" spans="1:6" ht="28.8" x14ac:dyDescent="0.3">
      <c r="A24" s="2">
        <v>46092</v>
      </c>
      <c r="B24" s="3" t="s">
        <v>30</v>
      </c>
      <c r="C24" s="3" t="s">
        <v>40</v>
      </c>
      <c r="D24" s="3" t="s">
        <v>13</v>
      </c>
      <c r="E24" s="3" t="s">
        <v>14</v>
      </c>
      <c r="F24" s="3">
        <v>1500</v>
      </c>
    </row>
    <row r="25" spans="1:6" x14ac:dyDescent="0.3">
      <c r="A25" s="2">
        <v>46093</v>
      </c>
      <c r="B25" s="3" t="s">
        <v>22</v>
      </c>
      <c r="C25" s="3" t="s">
        <v>41</v>
      </c>
      <c r="D25" s="3" t="s">
        <v>13</v>
      </c>
      <c r="E25" s="3" t="s">
        <v>14</v>
      </c>
      <c r="F25" s="3">
        <v>4200</v>
      </c>
    </row>
    <row r="26" spans="1:6" x14ac:dyDescent="0.3">
      <c r="A26" s="2">
        <v>46093</v>
      </c>
      <c r="B26" s="3" t="s">
        <v>10</v>
      </c>
      <c r="C26" s="3" t="s">
        <v>42</v>
      </c>
      <c r="D26" s="3" t="s">
        <v>13</v>
      </c>
      <c r="E26" s="3" t="s">
        <v>16</v>
      </c>
      <c r="F26" s="3">
        <v>200</v>
      </c>
    </row>
    <row r="27" spans="1:6" x14ac:dyDescent="0.3">
      <c r="A27" s="2">
        <v>46094</v>
      </c>
      <c r="B27" s="3" t="s">
        <v>10</v>
      </c>
      <c r="C27" s="3" t="s">
        <v>21</v>
      </c>
      <c r="D27" s="3" t="s">
        <v>13</v>
      </c>
      <c r="E27" s="3" t="s">
        <v>16</v>
      </c>
      <c r="F27" s="3">
        <v>660</v>
      </c>
    </row>
    <row r="28" spans="1:6" x14ac:dyDescent="0.3">
      <c r="A28" s="2">
        <v>46094</v>
      </c>
      <c r="B28" s="3" t="s">
        <v>11</v>
      </c>
      <c r="C28" s="3" t="s">
        <v>15</v>
      </c>
      <c r="D28" s="3" t="s">
        <v>13</v>
      </c>
      <c r="E28" s="3" t="s">
        <v>16</v>
      </c>
      <c r="F28" s="3">
        <v>200</v>
      </c>
    </row>
    <row r="29" spans="1:6" ht="28.8" x14ac:dyDescent="0.3">
      <c r="A29" s="2">
        <v>46095</v>
      </c>
      <c r="B29" s="3" t="s">
        <v>17</v>
      </c>
      <c r="C29" s="3" t="s">
        <v>43</v>
      </c>
      <c r="D29" s="3" t="s">
        <v>13</v>
      </c>
      <c r="E29" s="3" t="s">
        <v>9</v>
      </c>
      <c r="F29" s="3">
        <v>1100</v>
      </c>
    </row>
    <row r="30" spans="1:6" x14ac:dyDescent="0.3">
      <c r="A30" s="2">
        <v>46095</v>
      </c>
      <c r="B30" s="3" t="s">
        <v>22</v>
      </c>
      <c r="C30" s="3" t="s">
        <v>44</v>
      </c>
      <c r="D30" s="3" t="s">
        <v>13</v>
      </c>
      <c r="E30" s="3" t="s">
        <v>14</v>
      </c>
      <c r="F30" s="3">
        <v>2750</v>
      </c>
    </row>
    <row r="31" spans="1:6" x14ac:dyDescent="0.3">
      <c r="A31" s="2">
        <v>46096</v>
      </c>
      <c r="B31" s="3" t="s">
        <v>10</v>
      </c>
      <c r="C31" s="3" t="s">
        <v>45</v>
      </c>
      <c r="D31" s="3" t="s">
        <v>13</v>
      </c>
      <c r="E31" s="3" t="s">
        <v>14</v>
      </c>
      <c r="F31" s="3">
        <v>890</v>
      </c>
    </row>
    <row r="32" spans="1:6" ht="28.8" x14ac:dyDescent="0.3">
      <c r="A32" s="2">
        <v>46096</v>
      </c>
      <c r="B32" s="3" t="s">
        <v>30</v>
      </c>
      <c r="C32" s="3" t="s">
        <v>46</v>
      </c>
      <c r="D32" s="3" t="s">
        <v>13</v>
      </c>
      <c r="E32" s="3" t="s">
        <v>14</v>
      </c>
      <c r="F32" s="3">
        <v>3500</v>
      </c>
    </row>
    <row r="33" spans="1:6" x14ac:dyDescent="0.3">
      <c r="A33" s="2">
        <v>46097</v>
      </c>
      <c r="B33" s="3" t="s">
        <v>11</v>
      </c>
      <c r="C33" s="3" t="s">
        <v>47</v>
      </c>
      <c r="D33" s="3" t="s">
        <v>13</v>
      </c>
      <c r="E33" s="3" t="s">
        <v>16</v>
      </c>
      <c r="F33" s="3">
        <v>450</v>
      </c>
    </row>
    <row r="34" spans="1:6" ht="28.8" x14ac:dyDescent="0.3">
      <c r="A34" s="2">
        <v>46097</v>
      </c>
      <c r="B34" s="3" t="s">
        <v>10</v>
      </c>
      <c r="C34" s="3" t="s">
        <v>48</v>
      </c>
      <c r="D34" s="3" t="s">
        <v>13</v>
      </c>
      <c r="E34" s="3" t="s">
        <v>16</v>
      </c>
      <c r="F34" s="3">
        <v>300</v>
      </c>
    </row>
    <row r="35" spans="1:6" x14ac:dyDescent="0.3">
      <c r="A35" s="2">
        <v>46098</v>
      </c>
      <c r="B35" s="3" t="s">
        <v>22</v>
      </c>
      <c r="C35" s="3" t="s">
        <v>49</v>
      </c>
      <c r="D35" s="3" t="s">
        <v>13</v>
      </c>
      <c r="E35" s="3" t="s">
        <v>14</v>
      </c>
      <c r="F35" s="3">
        <v>4800</v>
      </c>
    </row>
    <row r="36" spans="1:6" ht="28.8" x14ac:dyDescent="0.3">
      <c r="A36" s="2">
        <v>46098</v>
      </c>
      <c r="B36" s="3" t="s">
        <v>17</v>
      </c>
      <c r="C36" s="3" t="s">
        <v>50</v>
      </c>
      <c r="D36" s="3" t="s">
        <v>13</v>
      </c>
      <c r="E36" s="3" t="s">
        <v>14</v>
      </c>
      <c r="F36" s="3">
        <v>1000</v>
      </c>
    </row>
    <row r="37" spans="1:6" x14ac:dyDescent="0.3">
      <c r="A37" s="2">
        <v>46099</v>
      </c>
      <c r="B37" s="3" t="s">
        <v>11</v>
      </c>
      <c r="C37" s="3" t="s">
        <v>15</v>
      </c>
      <c r="D37" s="3" t="s">
        <v>13</v>
      </c>
      <c r="E37" s="3" t="s">
        <v>16</v>
      </c>
      <c r="F37" s="3">
        <v>200</v>
      </c>
    </row>
    <row r="38" spans="1:6" ht="28.8" x14ac:dyDescent="0.3">
      <c r="A38" s="2">
        <v>46099</v>
      </c>
      <c r="B38" s="3" t="s">
        <v>10</v>
      </c>
      <c r="C38" s="3" t="s">
        <v>51</v>
      </c>
      <c r="D38" s="3" t="s">
        <v>13</v>
      </c>
      <c r="E38" s="3" t="s">
        <v>16</v>
      </c>
      <c r="F38" s="3">
        <v>750</v>
      </c>
    </row>
    <row r="39" spans="1:6" x14ac:dyDescent="0.3">
      <c r="A39" s="2">
        <v>46100</v>
      </c>
      <c r="B39" s="3" t="s">
        <v>23</v>
      </c>
      <c r="C39" s="3" t="s">
        <v>52</v>
      </c>
      <c r="D39" s="3" t="s">
        <v>8</v>
      </c>
      <c r="E39" s="3" t="s">
        <v>9</v>
      </c>
      <c r="F39" s="3">
        <v>12000</v>
      </c>
    </row>
    <row r="40" spans="1:6" x14ac:dyDescent="0.3">
      <c r="A40" s="2">
        <v>46100</v>
      </c>
      <c r="B40" s="3" t="s">
        <v>10</v>
      </c>
      <c r="C40" s="3" t="s">
        <v>29</v>
      </c>
      <c r="D40" s="3" t="s">
        <v>13</v>
      </c>
      <c r="E40" s="3" t="s">
        <v>16</v>
      </c>
      <c r="F40" s="3">
        <v>250</v>
      </c>
    </row>
    <row r="41" spans="1:6" ht="28.8" x14ac:dyDescent="0.3">
      <c r="A41" s="2">
        <v>46101</v>
      </c>
      <c r="B41" s="3" t="s">
        <v>22</v>
      </c>
      <c r="C41" s="3" t="s">
        <v>53</v>
      </c>
      <c r="D41" s="3" t="s">
        <v>13</v>
      </c>
      <c r="E41" s="3" t="s">
        <v>14</v>
      </c>
      <c r="F41" s="3">
        <v>8900</v>
      </c>
    </row>
    <row r="42" spans="1:6" x14ac:dyDescent="0.3">
      <c r="A42" s="2">
        <v>46101</v>
      </c>
      <c r="B42" s="3" t="s">
        <v>11</v>
      </c>
      <c r="C42" s="3" t="s">
        <v>28</v>
      </c>
      <c r="D42" s="3" t="s">
        <v>13</v>
      </c>
      <c r="E42" s="3" t="s">
        <v>16</v>
      </c>
      <c r="F42" s="3">
        <v>180</v>
      </c>
    </row>
    <row r="43" spans="1:6" x14ac:dyDescent="0.3">
      <c r="A43" s="2">
        <v>46102</v>
      </c>
      <c r="B43" s="3" t="s">
        <v>17</v>
      </c>
      <c r="C43" s="3" t="s">
        <v>54</v>
      </c>
      <c r="D43" s="3" t="s">
        <v>13</v>
      </c>
      <c r="E43" s="3" t="s">
        <v>9</v>
      </c>
      <c r="F43" s="3">
        <v>15000</v>
      </c>
    </row>
    <row r="44" spans="1:6" x14ac:dyDescent="0.3">
      <c r="A44" s="2">
        <v>46102</v>
      </c>
      <c r="B44" s="3" t="s">
        <v>10</v>
      </c>
      <c r="C44" s="3" t="s">
        <v>32</v>
      </c>
      <c r="D44" s="3" t="s">
        <v>13</v>
      </c>
      <c r="E44" s="3" t="s">
        <v>14</v>
      </c>
      <c r="F44" s="3">
        <v>1350</v>
      </c>
    </row>
    <row r="45" spans="1:6" ht="28.8" x14ac:dyDescent="0.3">
      <c r="A45" s="2">
        <v>46103</v>
      </c>
      <c r="B45" s="3" t="s">
        <v>30</v>
      </c>
      <c r="C45" s="3" t="s">
        <v>55</v>
      </c>
      <c r="D45" s="3" t="s">
        <v>13</v>
      </c>
      <c r="E45" s="3" t="s">
        <v>14</v>
      </c>
      <c r="F45" s="3">
        <v>6500</v>
      </c>
    </row>
    <row r="46" spans="1:6" x14ac:dyDescent="0.3">
      <c r="A46" s="2">
        <v>46103</v>
      </c>
      <c r="B46" s="3" t="s">
        <v>10</v>
      </c>
      <c r="C46" s="3" t="s">
        <v>12</v>
      </c>
      <c r="D46" s="3" t="s">
        <v>13</v>
      </c>
      <c r="E46" s="3" t="s">
        <v>16</v>
      </c>
      <c r="F46" s="3">
        <v>190</v>
      </c>
    </row>
    <row r="47" spans="1:6" x14ac:dyDescent="0.3">
      <c r="A47" s="2">
        <v>46104</v>
      </c>
      <c r="B47" s="3" t="s">
        <v>37</v>
      </c>
      <c r="C47" s="3" t="s">
        <v>56</v>
      </c>
      <c r="D47" s="3" t="s">
        <v>13</v>
      </c>
      <c r="E47" s="3" t="s">
        <v>16</v>
      </c>
      <c r="F47" s="3">
        <v>2500</v>
      </c>
    </row>
    <row r="48" spans="1:6" x14ac:dyDescent="0.3">
      <c r="A48" s="2">
        <v>46104</v>
      </c>
      <c r="B48" s="3" t="s">
        <v>11</v>
      </c>
      <c r="C48" s="3" t="s">
        <v>15</v>
      </c>
      <c r="D48" s="3" t="s">
        <v>13</v>
      </c>
      <c r="E48" s="3" t="s">
        <v>16</v>
      </c>
      <c r="F48" s="3">
        <v>100</v>
      </c>
    </row>
    <row r="49" spans="1:6" x14ac:dyDescent="0.3">
      <c r="A49" s="2">
        <v>46105</v>
      </c>
      <c r="B49" s="3" t="s">
        <v>22</v>
      </c>
      <c r="C49" s="3" t="s">
        <v>57</v>
      </c>
      <c r="D49" s="3" t="s">
        <v>13</v>
      </c>
      <c r="E49" s="3" t="s">
        <v>14</v>
      </c>
      <c r="F49" s="3">
        <v>7200</v>
      </c>
    </row>
    <row r="50" spans="1:6" x14ac:dyDescent="0.3">
      <c r="A50" s="2">
        <v>46105</v>
      </c>
      <c r="B50" s="3" t="s">
        <v>10</v>
      </c>
      <c r="C50" s="3" t="s">
        <v>25</v>
      </c>
      <c r="D50" s="3" t="s">
        <v>13</v>
      </c>
      <c r="E50" s="3" t="s">
        <v>14</v>
      </c>
      <c r="F50" s="3">
        <v>980</v>
      </c>
    </row>
    <row r="51" spans="1:6" x14ac:dyDescent="0.3">
      <c r="A51" s="2">
        <v>46106</v>
      </c>
      <c r="B51" s="3" t="s">
        <v>17</v>
      </c>
      <c r="C51" s="3" t="s">
        <v>58</v>
      </c>
      <c r="D51" s="3" t="s">
        <v>13</v>
      </c>
      <c r="E51" s="3" t="s">
        <v>9</v>
      </c>
      <c r="F51" s="3">
        <v>2900</v>
      </c>
    </row>
    <row r="52" spans="1:6" ht="28.8" x14ac:dyDescent="0.3">
      <c r="A52" s="2">
        <v>46106</v>
      </c>
      <c r="B52" s="3" t="s">
        <v>30</v>
      </c>
      <c r="C52" s="3" t="s">
        <v>59</v>
      </c>
      <c r="D52" s="3" t="s">
        <v>13</v>
      </c>
      <c r="E52" s="3" t="s">
        <v>14</v>
      </c>
      <c r="F52" s="3">
        <v>999</v>
      </c>
    </row>
    <row r="53" spans="1:6" x14ac:dyDescent="0.3">
      <c r="A53" s="2">
        <v>46107</v>
      </c>
      <c r="B53" s="3" t="s">
        <v>23</v>
      </c>
      <c r="C53" s="3" t="s">
        <v>24</v>
      </c>
      <c r="D53" s="3" t="s">
        <v>8</v>
      </c>
      <c r="E53" s="3" t="s">
        <v>9</v>
      </c>
      <c r="F53" s="3">
        <v>20000</v>
      </c>
    </row>
    <row r="54" spans="1:6" ht="28.8" x14ac:dyDescent="0.3">
      <c r="A54" s="2">
        <v>46107</v>
      </c>
      <c r="B54" s="3" t="s">
        <v>10</v>
      </c>
      <c r="C54" s="3" t="s">
        <v>60</v>
      </c>
      <c r="D54" s="3" t="s">
        <v>13</v>
      </c>
      <c r="E54" s="3" t="s">
        <v>16</v>
      </c>
      <c r="F54" s="3">
        <v>450</v>
      </c>
    </row>
    <row r="55" spans="1:6" ht="28.8" x14ac:dyDescent="0.3">
      <c r="A55" s="2">
        <v>46108</v>
      </c>
      <c r="B55" s="3" t="s">
        <v>17</v>
      </c>
      <c r="C55" s="3" t="s">
        <v>61</v>
      </c>
      <c r="D55" s="3" t="s">
        <v>13</v>
      </c>
      <c r="E55" s="3" t="s">
        <v>14</v>
      </c>
      <c r="F55" s="3">
        <v>100</v>
      </c>
    </row>
    <row r="56" spans="1:6" x14ac:dyDescent="0.3">
      <c r="A56" s="2">
        <v>46108</v>
      </c>
      <c r="B56" s="3" t="s">
        <v>11</v>
      </c>
      <c r="C56" s="3" t="s">
        <v>35</v>
      </c>
      <c r="D56" s="3" t="s">
        <v>13</v>
      </c>
      <c r="E56" s="3" t="s">
        <v>16</v>
      </c>
      <c r="F56" s="3">
        <v>1250</v>
      </c>
    </row>
    <row r="57" spans="1:6" x14ac:dyDescent="0.3">
      <c r="A57" s="2">
        <v>46109</v>
      </c>
      <c r="B57" s="3" t="s">
        <v>11</v>
      </c>
      <c r="C57" s="3" t="s">
        <v>15</v>
      </c>
      <c r="D57" s="3" t="s">
        <v>13</v>
      </c>
      <c r="E57" s="3" t="s">
        <v>16</v>
      </c>
      <c r="F57" s="3">
        <v>100</v>
      </c>
    </row>
    <row r="58" spans="1:6" x14ac:dyDescent="0.3">
      <c r="A58" s="2">
        <v>46109</v>
      </c>
      <c r="B58" s="3" t="s">
        <v>10</v>
      </c>
      <c r="C58" s="3" t="s">
        <v>62</v>
      </c>
      <c r="D58" s="3" t="s">
        <v>13</v>
      </c>
      <c r="E58" s="3" t="s">
        <v>16</v>
      </c>
      <c r="F58" s="3">
        <v>1200</v>
      </c>
    </row>
    <row r="59" spans="1:6" x14ac:dyDescent="0.3">
      <c r="A59" s="2">
        <v>46110</v>
      </c>
      <c r="B59" s="3" t="s">
        <v>22</v>
      </c>
      <c r="C59" s="3" t="s">
        <v>63</v>
      </c>
      <c r="D59" s="3" t="s">
        <v>13</v>
      </c>
      <c r="E59" s="3" t="s">
        <v>14</v>
      </c>
      <c r="F59" s="3">
        <v>5400</v>
      </c>
    </row>
    <row r="60" spans="1:6" ht="28.8" x14ac:dyDescent="0.3">
      <c r="A60" s="2">
        <v>46110</v>
      </c>
      <c r="B60" s="3" t="s">
        <v>30</v>
      </c>
      <c r="C60" s="3" t="s">
        <v>64</v>
      </c>
      <c r="D60" s="3" t="s">
        <v>13</v>
      </c>
      <c r="E60" s="3" t="s">
        <v>14</v>
      </c>
      <c r="F60" s="3">
        <v>2200</v>
      </c>
    </row>
    <row r="61" spans="1:6" x14ac:dyDescent="0.3">
      <c r="A61" s="2">
        <v>46111</v>
      </c>
      <c r="B61" s="3" t="s">
        <v>10</v>
      </c>
      <c r="C61" s="3" t="s">
        <v>32</v>
      </c>
      <c r="D61" s="3" t="s">
        <v>13</v>
      </c>
      <c r="E61" s="3" t="s">
        <v>14</v>
      </c>
      <c r="F61" s="3">
        <v>1700</v>
      </c>
    </row>
    <row r="62" spans="1:6" x14ac:dyDescent="0.3">
      <c r="A62" s="2">
        <v>46111</v>
      </c>
      <c r="B62" s="3" t="s">
        <v>11</v>
      </c>
      <c r="C62" s="3" t="s">
        <v>28</v>
      </c>
      <c r="D62" s="3" t="s">
        <v>13</v>
      </c>
      <c r="E62" s="3" t="s">
        <v>16</v>
      </c>
      <c r="F62" s="3">
        <v>250</v>
      </c>
    </row>
    <row r="63" spans="1:6" x14ac:dyDescent="0.3">
      <c r="A63" s="2">
        <v>46112</v>
      </c>
      <c r="B63" s="3" t="s">
        <v>23</v>
      </c>
      <c r="C63" s="3" t="s">
        <v>65</v>
      </c>
      <c r="D63" s="3" t="s">
        <v>8</v>
      </c>
      <c r="E63" s="3" t="s">
        <v>9</v>
      </c>
      <c r="F63" s="3">
        <v>8000</v>
      </c>
    </row>
    <row r="64" spans="1:6" ht="28.8" x14ac:dyDescent="0.3">
      <c r="A64" s="2">
        <v>46112</v>
      </c>
      <c r="B64" s="3" t="s">
        <v>17</v>
      </c>
      <c r="C64" s="3" t="s">
        <v>36</v>
      </c>
      <c r="D64" s="3" t="s">
        <v>13</v>
      </c>
      <c r="E64" s="3" t="s">
        <v>9</v>
      </c>
      <c r="F64" s="3">
        <v>3900</v>
      </c>
    </row>
    <row r="65" spans="1:6" x14ac:dyDescent="0.3">
      <c r="A65" s="2">
        <v>46113</v>
      </c>
      <c r="B65" s="3" t="s">
        <v>10</v>
      </c>
      <c r="C65" s="3" t="s">
        <v>12</v>
      </c>
      <c r="D65" s="3" t="s">
        <v>13</v>
      </c>
      <c r="E65" s="3" t="s">
        <v>16</v>
      </c>
      <c r="F65" s="3">
        <v>280</v>
      </c>
    </row>
    <row r="66" spans="1:6" x14ac:dyDescent="0.3">
      <c r="A66" s="2">
        <v>46113</v>
      </c>
      <c r="B66" s="3" t="s">
        <v>22</v>
      </c>
      <c r="C66" s="3" t="s">
        <v>66</v>
      </c>
      <c r="D66" s="3" t="s">
        <v>13</v>
      </c>
      <c r="E66" s="3" t="s">
        <v>14</v>
      </c>
      <c r="F66" s="3">
        <v>4300</v>
      </c>
    </row>
    <row r="67" spans="1:6" x14ac:dyDescent="0.3">
      <c r="A67" s="2">
        <v>46114</v>
      </c>
      <c r="B67" s="3" t="s">
        <v>11</v>
      </c>
      <c r="C67" s="3" t="s">
        <v>15</v>
      </c>
      <c r="D67" s="3" t="s">
        <v>13</v>
      </c>
      <c r="E67" s="3" t="s">
        <v>16</v>
      </c>
      <c r="F67" s="3">
        <v>120</v>
      </c>
    </row>
    <row r="68" spans="1:6" ht="28.8" x14ac:dyDescent="0.3">
      <c r="A68" s="2">
        <v>46114</v>
      </c>
      <c r="B68" s="3" t="s">
        <v>30</v>
      </c>
      <c r="C68" s="3" t="s">
        <v>67</v>
      </c>
      <c r="D68" s="3" t="s">
        <v>13</v>
      </c>
      <c r="E68" s="3" t="s">
        <v>14</v>
      </c>
      <c r="F68" s="3">
        <v>1200</v>
      </c>
    </row>
    <row r="69" spans="1:6" x14ac:dyDescent="0.3">
      <c r="A69" s="2">
        <v>46115</v>
      </c>
      <c r="B69" s="3" t="s">
        <v>10</v>
      </c>
      <c r="C69" s="3" t="s">
        <v>34</v>
      </c>
      <c r="D69" s="3" t="s">
        <v>13</v>
      </c>
      <c r="E69" s="3" t="s">
        <v>14</v>
      </c>
      <c r="F69" s="3">
        <v>2600</v>
      </c>
    </row>
    <row r="70" spans="1:6" x14ac:dyDescent="0.3">
      <c r="A70" s="2">
        <v>46115</v>
      </c>
      <c r="B70" s="3" t="s">
        <v>17</v>
      </c>
      <c r="C70" s="3" t="s">
        <v>27</v>
      </c>
      <c r="D70" s="3" t="s">
        <v>13</v>
      </c>
      <c r="E70" s="3" t="s">
        <v>9</v>
      </c>
      <c r="F70" s="3">
        <v>2500</v>
      </c>
    </row>
    <row r="71" spans="1:6" ht="28.8" x14ac:dyDescent="0.3">
      <c r="A71" s="2">
        <v>46116</v>
      </c>
      <c r="B71" s="3" t="s">
        <v>22</v>
      </c>
      <c r="C71" s="3" t="s">
        <v>68</v>
      </c>
      <c r="D71" s="3" t="s">
        <v>13</v>
      </c>
      <c r="E71" s="3" t="s">
        <v>14</v>
      </c>
      <c r="F71" s="3">
        <v>3100</v>
      </c>
    </row>
    <row r="72" spans="1:6" x14ac:dyDescent="0.3">
      <c r="A72" s="2">
        <v>46116</v>
      </c>
      <c r="B72" s="3" t="s">
        <v>10</v>
      </c>
      <c r="C72" s="3" t="s">
        <v>42</v>
      </c>
      <c r="D72" s="3" t="s">
        <v>13</v>
      </c>
      <c r="E72" s="3" t="s">
        <v>16</v>
      </c>
      <c r="F72" s="3">
        <v>220</v>
      </c>
    </row>
    <row r="73" spans="1:6" x14ac:dyDescent="0.3">
      <c r="A73" s="2">
        <v>46117</v>
      </c>
      <c r="B73" s="3" t="s">
        <v>11</v>
      </c>
      <c r="C73" s="3" t="s">
        <v>35</v>
      </c>
      <c r="D73" s="3" t="s">
        <v>13</v>
      </c>
      <c r="E73" s="3" t="s">
        <v>16</v>
      </c>
      <c r="F73" s="3">
        <v>800</v>
      </c>
    </row>
    <row r="74" spans="1:6" x14ac:dyDescent="0.3">
      <c r="A74" s="2">
        <v>46117</v>
      </c>
      <c r="B74" s="3" t="s">
        <v>37</v>
      </c>
      <c r="C74" s="3" t="s">
        <v>69</v>
      </c>
      <c r="D74" s="3" t="s">
        <v>13</v>
      </c>
      <c r="E74" s="3" t="s">
        <v>14</v>
      </c>
      <c r="F74" s="3">
        <v>1500</v>
      </c>
    </row>
    <row r="75" spans="1:6" x14ac:dyDescent="0.3">
      <c r="A75" s="2">
        <v>46118</v>
      </c>
      <c r="B75" s="3" t="s">
        <v>10</v>
      </c>
      <c r="C75" s="3" t="s">
        <v>39</v>
      </c>
      <c r="D75" s="3" t="s">
        <v>13</v>
      </c>
      <c r="E75" s="3" t="s">
        <v>16</v>
      </c>
      <c r="F75" s="3">
        <v>420</v>
      </c>
    </row>
    <row r="76" spans="1:6" ht="28.8" x14ac:dyDescent="0.3">
      <c r="A76" s="2">
        <v>46118</v>
      </c>
      <c r="B76" s="3" t="s">
        <v>30</v>
      </c>
      <c r="C76" s="3" t="s">
        <v>70</v>
      </c>
      <c r="D76" s="3" t="s">
        <v>13</v>
      </c>
      <c r="E76" s="3" t="s">
        <v>14</v>
      </c>
      <c r="F76" s="3">
        <v>7800</v>
      </c>
    </row>
    <row r="77" spans="1:6" x14ac:dyDescent="0.3">
      <c r="A77" s="2">
        <v>46119</v>
      </c>
      <c r="B77" s="3" t="s">
        <v>23</v>
      </c>
      <c r="C77" s="3" t="s">
        <v>71</v>
      </c>
      <c r="D77" s="3" t="s">
        <v>8</v>
      </c>
      <c r="E77" s="3" t="s">
        <v>9</v>
      </c>
      <c r="F77" s="3">
        <v>10000</v>
      </c>
    </row>
    <row r="78" spans="1:6" x14ac:dyDescent="0.3">
      <c r="A78" s="2">
        <v>46119</v>
      </c>
      <c r="B78" s="3" t="s">
        <v>22</v>
      </c>
      <c r="C78" s="3" t="s">
        <v>72</v>
      </c>
      <c r="D78" s="3" t="s">
        <v>13</v>
      </c>
      <c r="E78" s="3" t="s">
        <v>14</v>
      </c>
      <c r="F78" s="3">
        <v>3600</v>
      </c>
    </row>
    <row r="79" spans="1:6" ht="28.8" x14ac:dyDescent="0.3">
      <c r="A79" s="2">
        <v>46120</v>
      </c>
      <c r="B79" s="3" t="s">
        <v>17</v>
      </c>
      <c r="C79" s="3" t="s">
        <v>43</v>
      </c>
      <c r="D79" s="3" t="s">
        <v>13</v>
      </c>
      <c r="E79" s="3" t="s">
        <v>9</v>
      </c>
      <c r="F79" s="3">
        <v>1200</v>
      </c>
    </row>
    <row r="80" spans="1:6" x14ac:dyDescent="0.3">
      <c r="A80" s="2">
        <v>46120</v>
      </c>
      <c r="B80" s="3" t="s">
        <v>10</v>
      </c>
      <c r="C80" s="3" t="s">
        <v>25</v>
      </c>
      <c r="D80" s="3" t="s">
        <v>13</v>
      </c>
      <c r="E80" s="3" t="s">
        <v>14</v>
      </c>
      <c r="F80" s="3">
        <v>950</v>
      </c>
    </row>
    <row r="81" spans="1:6" x14ac:dyDescent="0.3">
      <c r="A81" s="2">
        <v>46121</v>
      </c>
      <c r="B81" s="3" t="s">
        <v>11</v>
      </c>
      <c r="C81" s="3" t="s">
        <v>15</v>
      </c>
      <c r="D81" s="3" t="s">
        <v>13</v>
      </c>
      <c r="E81" s="3" t="s">
        <v>16</v>
      </c>
      <c r="F81" s="3">
        <v>150</v>
      </c>
    </row>
    <row r="82" spans="1:6" x14ac:dyDescent="0.3">
      <c r="A82" s="2">
        <v>46121</v>
      </c>
      <c r="B82" s="3" t="s">
        <v>22</v>
      </c>
      <c r="C82" s="3" t="s">
        <v>73</v>
      </c>
      <c r="D82" s="3" t="s">
        <v>13</v>
      </c>
      <c r="E82" s="3" t="s">
        <v>14</v>
      </c>
      <c r="F82" s="3">
        <v>6400</v>
      </c>
    </row>
    <row r="83" spans="1:6" x14ac:dyDescent="0.3">
      <c r="A83" s="2">
        <v>46122</v>
      </c>
      <c r="B83" s="3" t="s">
        <v>10</v>
      </c>
      <c r="C83" s="3" t="s">
        <v>29</v>
      </c>
      <c r="D83" s="3" t="s">
        <v>13</v>
      </c>
      <c r="E83" s="3" t="s">
        <v>16</v>
      </c>
      <c r="F83" s="3">
        <v>180</v>
      </c>
    </row>
    <row r="84" spans="1:6" ht="28.8" x14ac:dyDescent="0.3">
      <c r="A84" s="2">
        <v>46122</v>
      </c>
      <c r="B84" s="3" t="s">
        <v>30</v>
      </c>
      <c r="C84" s="3" t="s">
        <v>31</v>
      </c>
      <c r="D84" s="3" t="s">
        <v>13</v>
      </c>
      <c r="E84" s="3" t="s">
        <v>14</v>
      </c>
      <c r="F84" s="3">
        <v>2000</v>
      </c>
    </row>
    <row r="85" spans="1:6" ht="28.8" x14ac:dyDescent="0.3">
      <c r="A85" s="2">
        <v>46123</v>
      </c>
      <c r="B85" s="3" t="s">
        <v>17</v>
      </c>
      <c r="C85" s="3" t="s">
        <v>50</v>
      </c>
      <c r="D85" s="3" t="s">
        <v>13</v>
      </c>
      <c r="E85" s="3" t="s">
        <v>14</v>
      </c>
      <c r="F85" s="3">
        <v>750</v>
      </c>
    </row>
    <row r="86" spans="1:6" x14ac:dyDescent="0.3">
      <c r="A86" s="2">
        <v>46123</v>
      </c>
      <c r="B86" s="3" t="s">
        <v>10</v>
      </c>
      <c r="C86" s="3" t="s">
        <v>45</v>
      </c>
      <c r="D86" s="3" t="s">
        <v>13</v>
      </c>
      <c r="E86" s="3" t="s">
        <v>14</v>
      </c>
      <c r="F86" s="3">
        <v>1100</v>
      </c>
    </row>
    <row r="87" spans="1:6" x14ac:dyDescent="0.3">
      <c r="A87" s="2">
        <v>46124</v>
      </c>
      <c r="B87" s="3" t="s">
        <v>22</v>
      </c>
      <c r="C87" s="3" t="s">
        <v>74</v>
      </c>
      <c r="D87" s="3" t="s">
        <v>13</v>
      </c>
      <c r="E87" s="3" t="s">
        <v>14</v>
      </c>
      <c r="F87" s="3">
        <v>2500</v>
      </c>
    </row>
    <row r="88" spans="1:6" x14ac:dyDescent="0.3">
      <c r="A88" s="2">
        <v>46124</v>
      </c>
      <c r="B88" s="3" t="s">
        <v>11</v>
      </c>
      <c r="C88" s="3" t="s">
        <v>28</v>
      </c>
      <c r="D88" s="3" t="s">
        <v>13</v>
      </c>
      <c r="E88" s="3" t="s">
        <v>16</v>
      </c>
      <c r="F88" s="3">
        <v>220</v>
      </c>
    </row>
    <row r="89" spans="1:6" x14ac:dyDescent="0.3">
      <c r="A89" s="2">
        <v>46125</v>
      </c>
      <c r="B89" s="3" t="s">
        <v>37</v>
      </c>
      <c r="C89" s="3" t="s">
        <v>75</v>
      </c>
      <c r="D89" s="3" t="s">
        <v>13</v>
      </c>
      <c r="E89" s="3" t="s">
        <v>16</v>
      </c>
      <c r="F89" s="3">
        <v>3200</v>
      </c>
    </row>
    <row r="90" spans="1:6" ht="28.8" x14ac:dyDescent="0.3">
      <c r="A90" s="2">
        <v>46125</v>
      </c>
      <c r="B90" s="3" t="s">
        <v>10</v>
      </c>
      <c r="C90" s="3" t="s">
        <v>76</v>
      </c>
      <c r="D90" s="3" t="s">
        <v>13</v>
      </c>
      <c r="E90" s="3" t="s">
        <v>16</v>
      </c>
      <c r="F90" s="3">
        <v>350</v>
      </c>
    </row>
    <row r="91" spans="1:6" x14ac:dyDescent="0.3">
      <c r="A91" s="2">
        <v>46126</v>
      </c>
      <c r="B91" s="3" t="s">
        <v>23</v>
      </c>
      <c r="C91" s="3" t="s">
        <v>52</v>
      </c>
      <c r="D91" s="3" t="s">
        <v>8</v>
      </c>
      <c r="E91" s="3" t="s">
        <v>9</v>
      </c>
      <c r="F91" s="3">
        <v>15000</v>
      </c>
    </row>
    <row r="92" spans="1:6" ht="28.8" x14ac:dyDescent="0.3">
      <c r="A92" s="2">
        <v>46126</v>
      </c>
      <c r="B92" s="3" t="s">
        <v>22</v>
      </c>
      <c r="C92" s="3" t="s">
        <v>77</v>
      </c>
      <c r="D92" s="3" t="s">
        <v>13</v>
      </c>
      <c r="E92" s="3" t="s">
        <v>14</v>
      </c>
      <c r="F92" s="3">
        <v>4900</v>
      </c>
    </row>
    <row r="93" spans="1:6" x14ac:dyDescent="0.3">
      <c r="A93" s="2">
        <v>46127</v>
      </c>
      <c r="B93" s="3" t="s">
        <v>17</v>
      </c>
      <c r="C93" s="3" t="s">
        <v>54</v>
      </c>
      <c r="D93" s="3" t="s">
        <v>13</v>
      </c>
      <c r="E93" s="3" t="s">
        <v>9</v>
      </c>
      <c r="F93" s="3">
        <v>15000</v>
      </c>
    </row>
    <row r="94" spans="1:6" x14ac:dyDescent="0.3">
      <c r="A94" s="2">
        <v>46127</v>
      </c>
      <c r="B94" s="3" t="s">
        <v>10</v>
      </c>
      <c r="C94" s="3" t="s">
        <v>32</v>
      </c>
      <c r="D94" s="3" t="s">
        <v>13</v>
      </c>
      <c r="E94" s="3" t="s">
        <v>14</v>
      </c>
      <c r="F94" s="3">
        <v>1750</v>
      </c>
    </row>
    <row r="95" spans="1:6" x14ac:dyDescent="0.3">
      <c r="A95" s="2">
        <v>46128</v>
      </c>
      <c r="B95" s="3" t="s">
        <v>11</v>
      </c>
      <c r="C95" s="3" t="s">
        <v>15</v>
      </c>
      <c r="D95" s="3" t="s">
        <v>13</v>
      </c>
      <c r="E95" s="3" t="s">
        <v>16</v>
      </c>
      <c r="F95" s="3">
        <v>100</v>
      </c>
    </row>
    <row r="96" spans="1:6" ht="28.8" x14ac:dyDescent="0.3">
      <c r="A96" s="2">
        <v>46128</v>
      </c>
      <c r="B96" s="3" t="s">
        <v>30</v>
      </c>
      <c r="C96" s="3" t="s">
        <v>55</v>
      </c>
      <c r="D96" s="3" t="s">
        <v>13</v>
      </c>
      <c r="E96" s="3" t="s">
        <v>14</v>
      </c>
      <c r="F96" s="3">
        <v>5000</v>
      </c>
    </row>
    <row r="97" spans="1:6" x14ac:dyDescent="0.3">
      <c r="A97" s="2">
        <v>46129</v>
      </c>
      <c r="B97" s="3" t="s">
        <v>10</v>
      </c>
      <c r="C97" s="3" t="s">
        <v>12</v>
      </c>
      <c r="D97" s="3" t="s">
        <v>13</v>
      </c>
      <c r="E97" s="3" t="s">
        <v>16</v>
      </c>
      <c r="F97" s="3">
        <v>210</v>
      </c>
    </row>
    <row r="98" spans="1:6" x14ac:dyDescent="0.3">
      <c r="A98" s="2">
        <v>46129</v>
      </c>
      <c r="B98" s="3" t="s">
        <v>22</v>
      </c>
      <c r="C98" s="3" t="s">
        <v>78</v>
      </c>
      <c r="D98" s="3" t="s">
        <v>13</v>
      </c>
      <c r="E98" s="3" t="s">
        <v>14</v>
      </c>
      <c r="F98" s="3">
        <v>2700</v>
      </c>
    </row>
    <row r="99" spans="1:6" x14ac:dyDescent="0.3">
      <c r="A99" s="2">
        <v>46130</v>
      </c>
      <c r="B99" s="3" t="s">
        <v>17</v>
      </c>
      <c r="C99" s="3" t="s">
        <v>58</v>
      </c>
      <c r="D99" s="3" t="s">
        <v>13</v>
      </c>
      <c r="E99" s="3" t="s">
        <v>9</v>
      </c>
      <c r="F99" s="3">
        <v>2900</v>
      </c>
    </row>
    <row r="100" spans="1:6" x14ac:dyDescent="0.3">
      <c r="A100" s="2">
        <v>46130</v>
      </c>
      <c r="B100" s="3" t="s">
        <v>10</v>
      </c>
      <c r="C100" s="3" t="s">
        <v>25</v>
      </c>
      <c r="D100" s="3" t="s">
        <v>13</v>
      </c>
      <c r="E100" s="3" t="s">
        <v>14</v>
      </c>
      <c r="F100" s="3">
        <v>850</v>
      </c>
    </row>
    <row r="101" spans="1:6" x14ac:dyDescent="0.3">
      <c r="A101" s="2">
        <v>46131</v>
      </c>
      <c r="B101" s="3" t="s">
        <v>11</v>
      </c>
      <c r="C101" s="3" t="s">
        <v>35</v>
      </c>
      <c r="D101" s="3" t="s">
        <v>13</v>
      </c>
      <c r="E101" s="3" t="s">
        <v>16</v>
      </c>
      <c r="F101" s="3">
        <v>990</v>
      </c>
    </row>
    <row r="102" spans="1:6" ht="28.8" x14ac:dyDescent="0.3">
      <c r="A102" s="2">
        <v>46131</v>
      </c>
      <c r="B102" s="3" t="s">
        <v>30</v>
      </c>
      <c r="C102" s="3" t="s">
        <v>40</v>
      </c>
      <c r="D102" s="3" t="s">
        <v>13</v>
      </c>
      <c r="E102" s="3" t="s">
        <v>14</v>
      </c>
      <c r="F102" s="3">
        <v>1500</v>
      </c>
    </row>
    <row r="103" spans="1:6" ht="28.8" x14ac:dyDescent="0.3">
      <c r="A103" s="2">
        <v>46132</v>
      </c>
      <c r="B103" s="3" t="s">
        <v>23</v>
      </c>
      <c r="C103" s="3" t="s">
        <v>79</v>
      </c>
      <c r="D103" s="3" t="s">
        <v>8</v>
      </c>
      <c r="E103" s="3" t="s">
        <v>9</v>
      </c>
      <c r="F103" s="3">
        <v>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01-3A4C-4C3B-B71E-7113C1DEE51C}">
  <dimension ref="A1:I103"/>
  <sheetViews>
    <sheetView topLeftCell="A2" workbookViewId="0">
      <selection activeCell="D11" sqref="D11"/>
    </sheetView>
  </sheetViews>
  <sheetFormatPr defaultRowHeight="14.4" x14ac:dyDescent="0.3"/>
  <cols>
    <col min="1" max="1" width="9.5546875" bestFit="1" customWidth="1"/>
    <col min="2" max="2" width="10.44140625" customWidth="1"/>
    <col min="3" max="3" width="12.33203125" customWidth="1"/>
    <col min="5" max="5" width="10.44140625" customWidth="1"/>
    <col min="6" max="6" width="9.777343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80</v>
      </c>
      <c r="H1" s="1" t="s">
        <v>81</v>
      </c>
      <c r="I1" s="1" t="s">
        <v>82</v>
      </c>
    </row>
    <row r="2" spans="1:9" x14ac:dyDescent="0.3">
      <c r="A2" s="2">
        <v>46082</v>
      </c>
      <c r="B2" s="3" t="s">
        <v>6</v>
      </c>
      <c r="C2" s="3" t="s">
        <v>7</v>
      </c>
      <c r="D2" s="3" t="s">
        <v>8</v>
      </c>
      <c r="E2" s="3" t="s">
        <v>9</v>
      </c>
      <c r="F2" s="3">
        <v>18600</v>
      </c>
      <c r="G2" s="3" t="str">
        <f>TEXT(finance_data[[#This Row],[Date]],"mmmm")</f>
        <v>March</v>
      </c>
      <c r="H2" s="3" t="str">
        <f>TEXT(finance_data[[#This Row],[Date]],"dddd")</f>
        <v>Sunday</v>
      </c>
      <c r="I2" s="3">
        <f>IF(finance_data[[#This Row],[Type]]="Expense",-finance_data[[#This Row],[Amount]],finance_data[[#This Row],[Amount]])</f>
        <v>18600</v>
      </c>
    </row>
    <row r="3" spans="1:9" x14ac:dyDescent="0.3">
      <c r="A3" s="2">
        <v>46082</v>
      </c>
      <c r="B3" s="3" t="s">
        <v>10</v>
      </c>
      <c r="C3" s="3" t="s">
        <v>12</v>
      </c>
      <c r="D3" s="3" t="s">
        <v>13</v>
      </c>
      <c r="E3" s="3" t="s">
        <v>14</v>
      </c>
      <c r="F3" s="3">
        <v>250</v>
      </c>
      <c r="G3" s="3" t="str">
        <f>TEXT(finance_data[[#This Row],[Date]],"mmmm")</f>
        <v>March</v>
      </c>
      <c r="H3" s="3" t="str">
        <f>TEXT(finance_data[[#This Row],[Date]],"dddd")</f>
        <v>Sunday</v>
      </c>
      <c r="I3" s="3">
        <f>IF(finance_data[[#This Row],[Type]]="Expense",-finance_data[[#This Row],[Amount]],finance_data[[#This Row],[Amount]])</f>
        <v>-250</v>
      </c>
    </row>
    <row r="4" spans="1:9" x14ac:dyDescent="0.3">
      <c r="A4" s="2">
        <v>46082</v>
      </c>
      <c r="B4" s="3" t="s">
        <v>11</v>
      </c>
      <c r="C4" s="3" t="s">
        <v>15</v>
      </c>
      <c r="D4" s="3" t="s">
        <v>13</v>
      </c>
      <c r="E4" s="3" t="s">
        <v>16</v>
      </c>
      <c r="F4" s="3">
        <v>1220</v>
      </c>
      <c r="G4" s="3" t="str">
        <f>TEXT(finance_data[[#This Row],[Date]],"mmmm")</f>
        <v>March</v>
      </c>
      <c r="H4" s="3" t="str">
        <f>TEXT(finance_data[[#This Row],[Date]],"dddd")</f>
        <v>Sunday</v>
      </c>
      <c r="I4" s="3">
        <f>IF(finance_data[[#This Row],[Type]]="Expense",-finance_data[[#This Row],[Amount]],finance_data[[#This Row],[Amount]])</f>
        <v>-1220</v>
      </c>
    </row>
    <row r="5" spans="1:9" x14ac:dyDescent="0.3">
      <c r="A5" s="2">
        <v>46083</v>
      </c>
      <c r="B5" s="3" t="s">
        <v>10</v>
      </c>
      <c r="C5" s="3" t="s">
        <v>25</v>
      </c>
      <c r="D5" s="3" t="s">
        <v>13</v>
      </c>
      <c r="E5" s="3" t="s">
        <v>14</v>
      </c>
      <c r="F5" s="3">
        <v>850</v>
      </c>
      <c r="G5" s="3" t="str">
        <f>TEXT(finance_data[[#This Row],[Date]],"mmmm")</f>
        <v>March</v>
      </c>
      <c r="H5" s="3" t="str">
        <f>TEXT(finance_data[[#This Row],[Date]],"dddd")</f>
        <v>Monday</v>
      </c>
      <c r="I5" s="3">
        <f>IF(finance_data[[#This Row],[Type]]="Expense",-finance_data[[#This Row],[Amount]],finance_data[[#This Row],[Amount]])</f>
        <v>-850</v>
      </c>
    </row>
    <row r="6" spans="1:9" x14ac:dyDescent="0.3">
      <c r="A6" s="2">
        <v>46083</v>
      </c>
      <c r="B6" s="3" t="s">
        <v>22</v>
      </c>
      <c r="C6" s="3" t="s">
        <v>26</v>
      </c>
      <c r="D6" s="3" t="s">
        <v>13</v>
      </c>
      <c r="E6" s="3" t="s">
        <v>14</v>
      </c>
      <c r="F6" s="3">
        <v>3200</v>
      </c>
      <c r="G6" s="3" t="str">
        <f>TEXT(finance_data[[#This Row],[Date]],"mmmm")</f>
        <v>March</v>
      </c>
      <c r="H6" s="3" t="str">
        <f>TEXT(finance_data[[#This Row],[Date]],"dddd")</f>
        <v>Monday</v>
      </c>
      <c r="I6" s="3">
        <f>IF(finance_data[[#This Row],[Type]]="Expense",-finance_data[[#This Row],[Amount]],finance_data[[#This Row],[Amount]])</f>
        <v>-3200</v>
      </c>
    </row>
    <row r="7" spans="1:9" x14ac:dyDescent="0.3">
      <c r="A7" s="2">
        <v>46084</v>
      </c>
      <c r="B7" s="3" t="s">
        <v>17</v>
      </c>
      <c r="C7" s="3" t="s">
        <v>27</v>
      </c>
      <c r="D7" s="3" t="s">
        <v>13</v>
      </c>
      <c r="E7" s="3" t="s">
        <v>9</v>
      </c>
      <c r="F7" s="3">
        <v>2500</v>
      </c>
      <c r="G7" s="3" t="str">
        <f>TEXT(finance_data[[#This Row],[Date]],"mmmm")</f>
        <v>March</v>
      </c>
      <c r="H7" s="3" t="str">
        <f>TEXT(finance_data[[#This Row],[Date]],"dddd")</f>
        <v>Tuesday</v>
      </c>
      <c r="I7" s="3">
        <f>IF(finance_data[[#This Row],[Type]]="Expense",-finance_data[[#This Row],[Amount]],finance_data[[#This Row],[Amount]])</f>
        <v>-2500</v>
      </c>
    </row>
    <row r="8" spans="1:9" x14ac:dyDescent="0.3">
      <c r="A8" s="2">
        <v>46084</v>
      </c>
      <c r="B8" s="3" t="s">
        <v>11</v>
      </c>
      <c r="C8" s="3" t="s">
        <v>28</v>
      </c>
      <c r="D8" s="3" t="s">
        <v>13</v>
      </c>
      <c r="E8" s="3" t="s">
        <v>16</v>
      </c>
      <c r="F8" s="3">
        <v>300</v>
      </c>
      <c r="G8" s="3" t="str">
        <f>TEXT(finance_data[[#This Row],[Date]],"mmmm")</f>
        <v>March</v>
      </c>
      <c r="H8" s="3" t="str">
        <f>TEXT(finance_data[[#This Row],[Date]],"dddd")</f>
        <v>Tuesday</v>
      </c>
      <c r="I8" s="3">
        <f>IF(finance_data[[#This Row],[Type]]="Expense",-finance_data[[#This Row],[Amount]],finance_data[[#This Row],[Amount]])</f>
        <v>-300</v>
      </c>
    </row>
    <row r="9" spans="1:9" ht="28.8" x14ac:dyDescent="0.3">
      <c r="A9" s="2">
        <v>46085</v>
      </c>
      <c r="B9" s="3" t="s">
        <v>17</v>
      </c>
      <c r="C9" s="3" t="s">
        <v>18</v>
      </c>
      <c r="D9" s="3" t="s">
        <v>13</v>
      </c>
      <c r="E9" s="3" t="s">
        <v>14</v>
      </c>
      <c r="F9" s="3">
        <v>1598</v>
      </c>
      <c r="G9" s="3" t="str">
        <f>TEXT(finance_data[[#This Row],[Date]],"mmmm")</f>
        <v>March</v>
      </c>
      <c r="H9" s="3" t="str">
        <f>TEXT(finance_data[[#This Row],[Date]],"dddd")</f>
        <v>Wednesday</v>
      </c>
      <c r="I9" s="3">
        <f>IF(finance_data[[#This Row],[Type]]="Expense",-finance_data[[#This Row],[Amount]],finance_data[[#This Row],[Amount]])</f>
        <v>-1598</v>
      </c>
    </row>
    <row r="10" spans="1:9" ht="28.8" x14ac:dyDescent="0.3">
      <c r="A10" s="2">
        <v>46085</v>
      </c>
      <c r="B10" s="3" t="s">
        <v>10</v>
      </c>
      <c r="C10" s="3" t="s">
        <v>29</v>
      </c>
      <c r="D10" s="3" t="s">
        <v>13</v>
      </c>
      <c r="E10" s="3" t="s">
        <v>16</v>
      </c>
      <c r="F10" s="3">
        <v>180</v>
      </c>
      <c r="G10" s="3" t="str">
        <f>TEXT(finance_data[[#This Row],[Date]],"mmmm")</f>
        <v>March</v>
      </c>
      <c r="H10" s="3" t="str">
        <f>TEXT(finance_data[[#This Row],[Date]],"dddd")</f>
        <v>Wednesday</v>
      </c>
      <c r="I10" s="3">
        <f>IF(finance_data[[#This Row],[Type]]="Expense",-finance_data[[#This Row],[Amount]],finance_data[[#This Row],[Amount]])</f>
        <v>-180</v>
      </c>
    </row>
    <row r="11" spans="1:9" x14ac:dyDescent="0.3">
      <c r="A11" s="2">
        <v>46086</v>
      </c>
      <c r="B11" s="3" t="s">
        <v>11</v>
      </c>
      <c r="C11" s="3" t="s">
        <v>15</v>
      </c>
      <c r="D11" s="3" t="s">
        <v>13</v>
      </c>
      <c r="E11" s="3" t="s">
        <v>16</v>
      </c>
      <c r="F11" s="3">
        <v>100</v>
      </c>
      <c r="G11" s="3" t="str">
        <f>TEXT(finance_data[[#This Row],[Date]],"mmmm")</f>
        <v>March</v>
      </c>
      <c r="H11" s="3" t="str">
        <f>TEXT(finance_data[[#This Row],[Date]],"dddd")</f>
        <v>Thursday</v>
      </c>
      <c r="I11" s="3">
        <f>IF(finance_data[[#This Row],[Type]]="Expense",-finance_data[[#This Row],[Amount]],finance_data[[#This Row],[Amount]])</f>
        <v>-100</v>
      </c>
    </row>
    <row r="12" spans="1:9" ht="28.8" x14ac:dyDescent="0.3">
      <c r="A12" s="2">
        <v>46086</v>
      </c>
      <c r="B12" s="3" t="s">
        <v>30</v>
      </c>
      <c r="C12" s="3" t="s">
        <v>31</v>
      </c>
      <c r="D12" s="3" t="s">
        <v>13</v>
      </c>
      <c r="E12" s="3" t="s">
        <v>14</v>
      </c>
      <c r="F12" s="3">
        <v>1800</v>
      </c>
      <c r="G12" s="3" t="str">
        <f>TEXT(finance_data[[#This Row],[Date]],"mmmm")</f>
        <v>March</v>
      </c>
      <c r="H12" s="3" t="str">
        <f>TEXT(finance_data[[#This Row],[Date]],"dddd")</f>
        <v>Thursday</v>
      </c>
      <c r="I12" s="3">
        <f>IF(finance_data[[#This Row],[Type]]="Expense",-finance_data[[#This Row],[Amount]],finance_data[[#This Row],[Amount]])</f>
        <v>-1800</v>
      </c>
    </row>
    <row r="13" spans="1:9" x14ac:dyDescent="0.3">
      <c r="A13" s="2">
        <v>46087</v>
      </c>
      <c r="B13" s="3" t="s">
        <v>10</v>
      </c>
      <c r="C13" s="3" t="s">
        <v>32</v>
      </c>
      <c r="D13" s="3" t="s">
        <v>13</v>
      </c>
      <c r="E13" s="3" t="s">
        <v>14</v>
      </c>
      <c r="F13" s="3">
        <v>1450</v>
      </c>
      <c r="G13" s="3" t="str">
        <f>TEXT(finance_data[[#This Row],[Date]],"mmmm")</f>
        <v>March</v>
      </c>
      <c r="H13" s="3" t="str">
        <f>TEXT(finance_data[[#This Row],[Date]],"dddd")</f>
        <v>Friday</v>
      </c>
      <c r="I13" s="3">
        <f>IF(finance_data[[#This Row],[Type]]="Expense",-finance_data[[#This Row],[Amount]],finance_data[[#This Row],[Amount]])</f>
        <v>-1450</v>
      </c>
    </row>
    <row r="14" spans="1:9" x14ac:dyDescent="0.3">
      <c r="A14" s="2">
        <v>46087</v>
      </c>
      <c r="B14" s="3" t="s">
        <v>22</v>
      </c>
      <c r="C14" s="3" t="s">
        <v>33</v>
      </c>
      <c r="D14" s="3" t="s">
        <v>13</v>
      </c>
      <c r="E14" s="3" t="s">
        <v>14</v>
      </c>
      <c r="F14" s="3">
        <v>5600</v>
      </c>
      <c r="G14" s="3" t="str">
        <f>TEXT(finance_data[[#This Row],[Date]],"mmmm")</f>
        <v>March</v>
      </c>
      <c r="H14" s="3" t="str">
        <f>TEXT(finance_data[[#This Row],[Date]],"dddd")</f>
        <v>Friday</v>
      </c>
      <c r="I14" s="3">
        <f>IF(finance_data[[#This Row],[Type]]="Expense",-finance_data[[#This Row],[Amount]],finance_data[[#This Row],[Amount]])</f>
        <v>-5600</v>
      </c>
    </row>
    <row r="15" spans="1:9" x14ac:dyDescent="0.3">
      <c r="A15" s="2">
        <v>46088</v>
      </c>
      <c r="B15" s="3" t="s">
        <v>22</v>
      </c>
      <c r="C15" s="3" t="s">
        <v>19</v>
      </c>
      <c r="D15" s="3" t="s">
        <v>13</v>
      </c>
      <c r="E15" s="3" t="s">
        <v>14</v>
      </c>
      <c r="F15" s="3">
        <v>6590</v>
      </c>
      <c r="G15" s="3" t="str">
        <f>TEXT(finance_data[[#This Row],[Date]],"mmmm")</f>
        <v>March</v>
      </c>
      <c r="H15" s="3" t="str">
        <f>TEXT(finance_data[[#This Row],[Date]],"dddd")</f>
        <v>Saturday</v>
      </c>
      <c r="I15" s="3">
        <f>IF(finance_data[[#This Row],[Type]]="Expense",-finance_data[[#This Row],[Amount]],finance_data[[#This Row],[Amount]])</f>
        <v>-6590</v>
      </c>
    </row>
    <row r="16" spans="1:9" x14ac:dyDescent="0.3">
      <c r="A16" s="2">
        <v>46088</v>
      </c>
      <c r="B16" s="3" t="s">
        <v>22</v>
      </c>
      <c r="C16" s="3" t="s">
        <v>20</v>
      </c>
      <c r="D16" s="3" t="s">
        <v>13</v>
      </c>
      <c r="E16" s="3" t="s">
        <v>14</v>
      </c>
      <c r="F16" s="3">
        <v>2000</v>
      </c>
      <c r="G16" s="3" t="str">
        <f>TEXT(finance_data[[#This Row],[Date]],"mmmm")</f>
        <v>March</v>
      </c>
      <c r="H16" s="3" t="str">
        <f>TEXT(finance_data[[#This Row],[Date]],"dddd")</f>
        <v>Saturday</v>
      </c>
      <c r="I16" s="3">
        <f>IF(finance_data[[#This Row],[Type]]="Expense",-finance_data[[#This Row],[Amount]],finance_data[[#This Row],[Amount]])</f>
        <v>-2000</v>
      </c>
    </row>
    <row r="17" spans="1:9" x14ac:dyDescent="0.3">
      <c r="A17" s="2">
        <v>46089</v>
      </c>
      <c r="B17" s="3" t="s">
        <v>10</v>
      </c>
      <c r="C17" s="3" t="s">
        <v>34</v>
      </c>
      <c r="D17" s="3" t="s">
        <v>13</v>
      </c>
      <c r="E17" s="3" t="s">
        <v>16</v>
      </c>
      <c r="F17" s="3">
        <v>2400</v>
      </c>
      <c r="G17" s="3" t="str">
        <f>TEXT(finance_data[[#This Row],[Date]],"mmmm")</f>
        <v>March</v>
      </c>
      <c r="H17" s="3" t="str">
        <f>TEXT(finance_data[[#This Row],[Date]],"dddd")</f>
        <v>Sunday</v>
      </c>
      <c r="I17" s="3">
        <f>IF(finance_data[[#This Row],[Type]]="Expense",-finance_data[[#This Row],[Amount]],finance_data[[#This Row],[Amount]])</f>
        <v>-2400</v>
      </c>
    </row>
    <row r="18" spans="1:9" x14ac:dyDescent="0.3">
      <c r="A18" s="2">
        <v>46089</v>
      </c>
      <c r="B18" s="3" t="s">
        <v>11</v>
      </c>
      <c r="C18" s="3" t="s">
        <v>35</v>
      </c>
      <c r="D18" s="3" t="s">
        <v>13</v>
      </c>
      <c r="E18" s="3" t="s">
        <v>16</v>
      </c>
      <c r="F18" s="3">
        <v>950</v>
      </c>
      <c r="G18" s="3" t="str">
        <f>TEXT(finance_data[[#This Row],[Date]],"mmmm")</f>
        <v>March</v>
      </c>
      <c r="H18" s="3" t="str">
        <f>TEXT(finance_data[[#This Row],[Date]],"dddd")</f>
        <v>Sunday</v>
      </c>
      <c r="I18" s="3">
        <f>IF(finance_data[[#This Row],[Type]]="Expense",-finance_data[[#This Row],[Amount]],finance_data[[#This Row],[Amount]])</f>
        <v>-950</v>
      </c>
    </row>
    <row r="19" spans="1:9" x14ac:dyDescent="0.3">
      <c r="A19" s="2">
        <v>46090</v>
      </c>
      <c r="B19" s="3" t="s">
        <v>17</v>
      </c>
      <c r="C19" s="3" t="s">
        <v>36</v>
      </c>
      <c r="D19" s="3" t="s">
        <v>13</v>
      </c>
      <c r="E19" s="3" t="s">
        <v>9</v>
      </c>
      <c r="F19" s="3">
        <v>4200</v>
      </c>
      <c r="G19" s="3" t="str">
        <f>TEXT(finance_data[[#This Row],[Date]],"mmmm")</f>
        <v>March</v>
      </c>
      <c r="H19" s="3" t="str">
        <f>TEXT(finance_data[[#This Row],[Date]],"dddd")</f>
        <v>Monday</v>
      </c>
      <c r="I19" s="3">
        <f>IF(finance_data[[#This Row],[Type]]="Expense",-finance_data[[#This Row],[Amount]],finance_data[[#This Row],[Amount]])</f>
        <v>-4200</v>
      </c>
    </row>
    <row r="20" spans="1:9" x14ac:dyDescent="0.3">
      <c r="A20" s="2">
        <v>46090</v>
      </c>
      <c r="B20" s="3" t="s">
        <v>10</v>
      </c>
      <c r="C20" s="3" t="s">
        <v>12</v>
      </c>
      <c r="D20" s="3" t="s">
        <v>13</v>
      </c>
      <c r="E20" s="3" t="s">
        <v>16</v>
      </c>
      <c r="F20" s="3">
        <v>220</v>
      </c>
      <c r="G20" s="3" t="str">
        <f>TEXT(finance_data[[#This Row],[Date]],"mmmm")</f>
        <v>March</v>
      </c>
      <c r="H20" s="3" t="str">
        <f>TEXT(finance_data[[#This Row],[Date]],"dddd")</f>
        <v>Monday</v>
      </c>
      <c r="I20" s="3">
        <f>IF(finance_data[[#This Row],[Type]]="Expense",-finance_data[[#This Row],[Amount]],finance_data[[#This Row],[Amount]])</f>
        <v>-220</v>
      </c>
    </row>
    <row r="21" spans="1:9" x14ac:dyDescent="0.3">
      <c r="A21" s="2">
        <v>46091</v>
      </c>
      <c r="B21" s="3" t="s">
        <v>37</v>
      </c>
      <c r="C21" s="3" t="s">
        <v>38</v>
      </c>
      <c r="D21" s="3" t="s">
        <v>13</v>
      </c>
      <c r="E21" s="3" t="s">
        <v>14</v>
      </c>
      <c r="F21" s="3">
        <v>980</v>
      </c>
      <c r="G21" s="3" t="str">
        <f>TEXT(finance_data[[#This Row],[Date]],"mmmm")</f>
        <v>March</v>
      </c>
      <c r="H21" s="3" t="str">
        <f>TEXT(finance_data[[#This Row],[Date]],"dddd")</f>
        <v>Tuesday</v>
      </c>
      <c r="I21" s="3">
        <f>IF(finance_data[[#This Row],[Type]]="Expense",-finance_data[[#This Row],[Amount]],finance_data[[#This Row],[Amount]])</f>
        <v>-980</v>
      </c>
    </row>
    <row r="22" spans="1:9" x14ac:dyDescent="0.3">
      <c r="A22" s="2">
        <v>46091</v>
      </c>
      <c r="B22" s="3" t="s">
        <v>11</v>
      </c>
      <c r="C22" s="3" t="s">
        <v>15</v>
      </c>
      <c r="D22" s="3" t="s">
        <v>13</v>
      </c>
      <c r="E22" s="3" t="s">
        <v>16</v>
      </c>
      <c r="F22" s="3">
        <v>120</v>
      </c>
      <c r="G22" s="3" t="str">
        <f>TEXT(finance_data[[#This Row],[Date]],"mmmm")</f>
        <v>March</v>
      </c>
      <c r="H22" s="3" t="str">
        <f>TEXT(finance_data[[#This Row],[Date]],"dddd")</f>
        <v>Tuesday</v>
      </c>
      <c r="I22" s="3">
        <f>IF(finance_data[[#This Row],[Type]]="Expense",-finance_data[[#This Row],[Amount]],finance_data[[#This Row],[Amount]])</f>
        <v>-120</v>
      </c>
    </row>
    <row r="23" spans="1:9" ht="28.8" x14ac:dyDescent="0.3">
      <c r="A23" s="2">
        <v>46092</v>
      </c>
      <c r="B23" s="3" t="s">
        <v>10</v>
      </c>
      <c r="C23" s="3" t="s">
        <v>39</v>
      </c>
      <c r="D23" s="3" t="s">
        <v>13</v>
      </c>
      <c r="E23" s="3" t="s">
        <v>16</v>
      </c>
      <c r="F23" s="3">
        <v>350</v>
      </c>
      <c r="G23" s="3" t="str">
        <f>TEXT(finance_data[[#This Row],[Date]],"mmmm")</f>
        <v>March</v>
      </c>
      <c r="H23" s="3" t="str">
        <f>TEXT(finance_data[[#This Row],[Date]],"dddd")</f>
        <v>Wednesday</v>
      </c>
      <c r="I23" s="3">
        <f>IF(finance_data[[#This Row],[Type]]="Expense",-finance_data[[#This Row],[Amount]],finance_data[[#This Row],[Amount]])</f>
        <v>-350</v>
      </c>
    </row>
    <row r="24" spans="1:9" ht="28.8" x14ac:dyDescent="0.3">
      <c r="A24" s="2">
        <v>46092</v>
      </c>
      <c r="B24" s="3" t="s">
        <v>30</v>
      </c>
      <c r="C24" s="3" t="s">
        <v>40</v>
      </c>
      <c r="D24" s="3" t="s">
        <v>13</v>
      </c>
      <c r="E24" s="3" t="s">
        <v>14</v>
      </c>
      <c r="F24" s="3">
        <v>1500</v>
      </c>
      <c r="G24" s="3" t="str">
        <f>TEXT(finance_data[[#This Row],[Date]],"mmmm")</f>
        <v>March</v>
      </c>
      <c r="H24" s="3" t="str">
        <f>TEXT(finance_data[[#This Row],[Date]],"dddd")</f>
        <v>Wednesday</v>
      </c>
      <c r="I24" s="3">
        <f>IF(finance_data[[#This Row],[Type]]="Expense",-finance_data[[#This Row],[Amount]],finance_data[[#This Row],[Amount]])</f>
        <v>-1500</v>
      </c>
    </row>
    <row r="25" spans="1:9" x14ac:dyDescent="0.3">
      <c r="A25" s="2">
        <v>46093</v>
      </c>
      <c r="B25" s="3" t="s">
        <v>22</v>
      </c>
      <c r="C25" s="3" t="s">
        <v>41</v>
      </c>
      <c r="D25" s="3" t="s">
        <v>13</v>
      </c>
      <c r="E25" s="3" t="s">
        <v>14</v>
      </c>
      <c r="F25" s="3">
        <v>4200</v>
      </c>
      <c r="G25" s="3" t="str">
        <f>TEXT(finance_data[[#This Row],[Date]],"mmmm")</f>
        <v>March</v>
      </c>
      <c r="H25" s="3" t="str">
        <f>TEXT(finance_data[[#This Row],[Date]],"dddd")</f>
        <v>Thursday</v>
      </c>
      <c r="I25" s="3">
        <f>IF(finance_data[[#This Row],[Type]]="Expense",-finance_data[[#This Row],[Amount]],finance_data[[#This Row],[Amount]])</f>
        <v>-4200</v>
      </c>
    </row>
    <row r="26" spans="1:9" x14ac:dyDescent="0.3">
      <c r="A26" s="2">
        <v>46093</v>
      </c>
      <c r="B26" s="3" t="s">
        <v>10</v>
      </c>
      <c r="C26" s="3" t="s">
        <v>42</v>
      </c>
      <c r="D26" s="3" t="s">
        <v>13</v>
      </c>
      <c r="E26" s="3" t="s">
        <v>16</v>
      </c>
      <c r="F26" s="3">
        <v>200</v>
      </c>
      <c r="G26" s="3" t="str">
        <f>TEXT(finance_data[[#This Row],[Date]],"mmmm")</f>
        <v>March</v>
      </c>
      <c r="H26" s="3" t="str">
        <f>TEXT(finance_data[[#This Row],[Date]],"dddd")</f>
        <v>Thursday</v>
      </c>
      <c r="I26" s="3">
        <f>IF(finance_data[[#This Row],[Type]]="Expense",-finance_data[[#This Row],[Amount]],finance_data[[#This Row],[Amount]])</f>
        <v>-200</v>
      </c>
    </row>
    <row r="27" spans="1:9" x14ac:dyDescent="0.3">
      <c r="A27" s="2">
        <v>46094</v>
      </c>
      <c r="B27" s="3" t="s">
        <v>10</v>
      </c>
      <c r="C27" s="3" t="s">
        <v>21</v>
      </c>
      <c r="D27" s="3" t="s">
        <v>13</v>
      </c>
      <c r="E27" s="3" t="s">
        <v>16</v>
      </c>
      <c r="F27" s="3">
        <v>660</v>
      </c>
      <c r="G27" s="3" t="str">
        <f>TEXT(finance_data[[#This Row],[Date]],"mmmm")</f>
        <v>March</v>
      </c>
      <c r="H27" s="3" t="str">
        <f>TEXT(finance_data[[#This Row],[Date]],"dddd")</f>
        <v>Friday</v>
      </c>
      <c r="I27" s="3">
        <f>IF(finance_data[[#This Row],[Type]]="Expense",-finance_data[[#This Row],[Amount]],finance_data[[#This Row],[Amount]])</f>
        <v>-660</v>
      </c>
    </row>
    <row r="28" spans="1:9" x14ac:dyDescent="0.3">
      <c r="A28" s="2">
        <v>46094</v>
      </c>
      <c r="B28" s="3" t="s">
        <v>11</v>
      </c>
      <c r="C28" s="3" t="s">
        <v>15</v>
      </c>
      <c r="D28" s="3" t="s">
        <v>13</v>
      </c>
      <c r="E28" s="3" t="s">
        <v>16</v>
      </c>
      <c r="F28" s="3">
        <v>200</v>
      </c>
      <c r="G28" s="3" t="str">
        <f>TEXT(finance_data[[#This Row],[Date]],"mmmm")</f>
        <v>March</v>
      </c>
      <c r="H28" s="3" t="str">
        <f>TEXT(finance_data[[#This Row],[Date]],"dddd")</f>
        <v>Friday</v>
      </c>
      <c r="I28" s="3">
        <f>IF(finance_data[[#This Row],[Type]]="Expense",-finance_data[[#This Row],[Amount]],finance_data[[#This Row],[Amount]])</f>
        <v>-200</v>
      </c>
    </row>
    <row r="29" spans="1:9" x14ac:dyDescent="0.3">
      <c r="A29" s="2">
        <v>46095</v>
      </c>
      <c r="B29" s="3" t="s">
        <v>17</v>
      </c>
      <c r="C29" s="3" t="s">
        <v>43</v>
      </c>
      <c r="D29" s="3" t="s">
        <v>13</v>
      </c>
      <c r="E29" s="3" t="s">
        <v>9</v>
      </c>
      <c r="F29" s="3">
        <v>1100</v>
      </c>
      <c r="G29" s="3" t="str">
        <f>TEXT(finance_data[[#This Row],[Date]],"mmmm")</f>
        <v>March</v>
      </c>
      <c r="H29" s="3" t="str">
        <f>TEXT(finance_data[[#This Row],[Date]],"dddd")</f>
        <v>Saturday</v>
      </c>
      <c r="I29" s="3">
        <f>IF(finance_data[[#This Row],[Type]]="Expense",-finance_data[[#This Row],[Amount]],finance_data[[#This Row],[Amount]])</f>
        <v>-1100</v>
      </c>
    </row>
    <row r="30" spans="1:9" x14ac:dyDescent="0.3">
      <c r="A30" s="2">
        <v>46095</v>
      </c>
      <c r="B30" s="3" t="s">
        <v>22</v>
      </c>
      <c r="C30" s="3" t="s">
        <v>44</v>
      </c>
      <c r="D30" s="3" t="s">
        <v>13</v>
      </c>
      <c r="E30" s="3" t="s">
        <v>14</v>
      </c>
      <c r="F30" s="3">
        <v>2750</v>
      </c>
      <c r="G30" s="3" t="str">
        <f>TEXT(finance_data[[#This Row],[Date]],"mmmm")</f>
        <v>March</v>
      </c>
      <c r="H30" s="3" t="str">
        <f>TEXT(finance_data[[#This Row],[Date]],"dddd")</f>
        <v>Saturday</v>
      </c>
      <c r="I30" s="3">
        <f>IF(finance_data[[#This Row],[Type]]="Expense",-finance_data[[#This Row],[Amount]],finance_data[[#This Row],[Amount]])</f>
        <v>-2750</v>
      </c>
    </row>
    <row r="31" spans="1:9" x14ac:dyDescent="0.3">
      <c r="A31" s="2">
        <v>46096</v>
      </c>
      <c r="B31" s="3" t="s">
        <v>10</v>
      </c>
      <c r="C31" s="3" t="s">
        <v>45</v>
      </c>
      <c r="D31" s="3" t="s">
        <v>13</v>
      </c>
      <c r="E31" s="3" t="s">
        <v>14</v>
      </c>
      <c r="F31" s="3">
        <v>890</v>
      </c>
      <c r="G31" s="3" t="str">
        <f>TEXT(finance_data[[#This Row],[Date]],"mmmm")</f>
        <v>March</v>
      </c>
      <c r="H31" s="3" t="str">
        <f>TEXT(finance_data[[#This Row],[Date]],"dddd")</f>
        <v>Sunday</v>
      </c>
      <c r="I31" s="3">
        <f>IF(finance_data[[#This Row],[Type]]="Expense",-finance_data[[#This Row],[Amount]],finance_data[[#This Row],[Amount]])</f>
        <v>-890</v>
      </c>
    </row>
    <row r="32" spans="1:9" ht="28.8" x14ac:dyDescent="0.3">
      <c r="A32" s="2">
        <v>46096</v>
      </c>
      <c r="B32" s="3" t="s">
        <v>30</v>
      </c>
      <c r="C32" s="3" t="s">
        <v>46</v>
      </c>
      <c r="D32" s="3" t="s">
        <v>13</v>
      </c>
      <c r="E32" s="3" t="s">
        <v>14</v>
      </c>
      <c r="F32" s="3">
        <v>3500</v>
      </c>
      <c r="G32" s="3" t="str">
        <f>TEXT(finance_data[[#This Row],[Date]],"mmmm")</f>
        <v>March</v>
      </c>
      <c r="H32" s="3" t="str">
        <f>TEXT(finance_data[[#This Row],[Date]],"dddd")</f>
        <v>Sunday</v>
      </c>
      <c r="I32" s="3">
        <f>IF(finance_data[[#This Row],[Type]]="Expense",-finance_data[[#This Row],[Amount]],finance_data[[#This Row],[Amount]])</f>
        <v>-3500</v>
      </c>
    </row>
    <row r="33" spans="1:9" x14ac:dyDescent="0.3">
      <c r="A33" s="2">
        <v>46097</v>
      </c>
      <c r="B33" s="3" t="s">
        <v>11</v>
      </c>
      <c r="C33" s="3" t="s">
        <v>47</v>
      </c>
      <c r="D33" s="3" t="s">
        <v>13</v>
      </c>
      <c r="E33" s="3" t="s">
        <v>16</v>
      </c>
      <c r="F33" s="3">
        <v>450</v>
      </c>
      <c r="G33" s="3" t="str">
        <f>TEXT(finance_data[[#This Row],[Date]],"mmmm")</f>
        <v>March</v>
      </c>
      <c r="H33" s="3" t="str">
        <f>TEXT(finance_data[[#This Row],[Date]],"dddd")</f>
        <v>Monday</v>
      </c>
      <c r="I33" s="3">
        <f>IF(finance_data[[#This Row],[Type]]="Expense",-finance_data[[#This Row],[Amount]],finance_data[[#This Row],[Amount]])</f>
        <v>-450</v>
      </c>
    </row>
    <row r="34" spans="1:9" x14ac:dyDescent="0.3">
      <c r="A34" s="2">
        <v>46097</v>
      </c>
      <c r="B34" s="3" t="s">
        <v>10</v>
      </c>
      <c r="C34" s="3" t="s">
        <v>48</v>
      </c>
      <c r="D34" s="3" t="s">
        <v>13</v>
      </c>
      <c r="E34" s="3" t="s">
        <v>16</v>
      </c>
      <c r="F34" s="3">
        <v>300</v>
      </c>
      <c r="G34" s="3" t="str">
        <f>TEXT(finance_data[[#This Row],[Date]],"mmmm")</f>
        <v>March</v>
      </c>
      <c r="H34" s="3" t="str">
        <f>TEXT(finance_data[[#This Row],[Date]],"dddd")</f>
        <v>Monday</v>
      </c>
      <c r="I34" s="3">
        <f>IF(finance_data[[#This Row],[Type]]="Expense",-finance_data[[#This Row],[Amount]],finance_data[[#This Row],[Amount]])</f>
        <v>-300</v>
      </c>
    </row>
    <row r="35" spans="1:9" x14ac:dyDescent="0.3">
      <c r="A35" s="2">
        <v>46098</v>
      </c>
      <c r="B35" s="3" t="s">
        <v>22</v>
      </c>
      <c r="C35" s="3" t="s">
        <v>49</v>
      </c>
      <c r="D35" s="3" t="s">
        <v>13</v>
      </c>
      <c r="E35" s="3" t="s">
        <v>14</v>
      </c>
      <c r="F35" s="3">
        <v>4800</v>
      </c>
      <c r="G35" s="3" t="str">
        <f>TEXT(finance_data[[#This Row],[Date]],"mmmm")</f>
        <v>March</v>
      </c>
      <c r="H35" s="3" t="str">
        <f>TEXT(finance_data[[#This Row],[Date]],"dddd")</f>
        <v>Tuesday</v>
      </c>
      <c r="I35" s="3">
        <f>IF(finance_data[[#This Row],[Type]]="Expense",-finance_data[[#This Row],[Amount]],finance_data[[#This Row],[Amount]])</f>
        <v>-4800</v>
      </c>
    </row>
    <row r="36" spans="1:9" ht="28.8" x14ac:dyDescent="0.3">
      <c r="A36" s="2">
        <v>46098</v>
      </c>
      <c r="B36" s="3" t="s">
        <v>17</v>
      </c>
      <c r="C36" s="3" t="s">
        <v>50</v>
      </c>
      <c r="D36" s="3" t="s">
        <v>13</v>
      </c>
      <c r="E36" s="3" t="s">
        <v>14</v>
      </c>
      <c r="F36" s="3">
        <v>1000</v>
      </c>
      <c r="G36" s="3" t="str">
        <f>TEXT(finance_data[[#This Row],[Date]],"mmmm")</f>
        <v>March</v>
      </c>
      <c r="H36" s="3" t="str">
        <f>TEXT(finance_data[[#This Row],[Date]],"dddd")</f>
        <v>Tuesday</v>
      </c>
      <c r="I36" s="3">
        <f>IF(finance_data[[#This Row],[Type]]="Expense",-finance_data[[#This Row],[Amount]],finance_data[[#This Row],[Amount]])</f>
        <v>-1000</v>
      </c>
    </row>
    <row r="37" spans="1:9" ht="28.8" x14ac:dyDescent="0.3">
      <c r="A37" s="2">
        <v>46099</v>
      </c>
      <c r="B37" s="3" t="s">
        <v>11</v>
      </c>
      <c r="C37" s="3" t="s">
        <v>15</v>
      </c>
      <c r="D37" s="3" t="s">
        <v>13</v>
      </c>
      <c r="E37" s="3" t="s">
        <v>16</v>
      </c>
      <c r="F37" s="3">
        <v>200</v>
      </c>
      <c r="G37" s="3" t="str">
        <f>TEXT(finance_data[[#This Row],[Date]],"mmmm")</f>
        <v>March</v>
      </c>
      <c r="H37" s="3" t="str">
        <f>TEXT(finance_data[[#This Row],[Date]],"dddd")</f>
        <v>Wednesday</v>
      </c>
      <c r="I37" s="3">
        <f>IF(finance_data[[#This Row],[Type]]="Expense",-finance_data[[#This Row],[Amount]],finance_data[[#This Row],[Amount]])</f>
        <v>-200</v>
      </c>
    </row>
    <row r="38" spans="1:9" ht="28.8" x14ac:dyDescent="0.3">
      <c r="A38" s="2">
        <v>46099</v>
      </c>
      <c r="B38" s="3" t="s">
        <v>10</v>
      </c>
      <c r="C38" s="3" t="s">
        <v>51</v>
      </c>
      <c r="D38" s="3" t="s">
        <v>13</v>
      </c>
      <c r="E38" s="3" t="s">
        <v>16</v>
      </c>
      <c r="F38" s="3">
        <v>750</v>
      </c>
      <c r="G38" s="3" t="str">
        <f>TEXT(finance_data[[#This Row],[Date]],"mmmm")</f>
        <v>March</v>
      </c>
      <c r="H38" s="3" t="str">
        <f>TEXT(finance_data[[#This Row],[Date]],"dddd")</f>
        <v>Wednesday</v>
      </c>
      <c r="I38" s="3">
        <f>IF(finance_data[[#This Row],[Type]]="Expense",-finance_data[[#This Row],[Amount]],finance_data[[#This Row],[Amount]])</f>
        <v>-750</v>
      </c>
    </row>
    <row r="39" spans="1:9" x14ac:dyDescent="0.3">
      <c r="A39" s="2">
        <v>46100</v>
      </c>
      <c r="B39" s="3" t="s">
        <v>23</v>
      </c>
      <c r="C39" s="3" t="s">
        <v>52</v>
      </c>
      <c r="D39" s="3" t="s">
        <v>8</v>
      </c>
      <c r="E39" s="3" t="s">
        <v>9</v>
      </c>
      <c r="F39" s="3">
        <v>12000</v>
      </c>
      <c r="G39" s="3" t="str">
        <f>TEXT(finance_data[[#This Row],[Date]],"mmmm")</f>
        <v>March</v>
      </c>
      <c r="H39" s="3" t="str">
        <f>TEXT(finance_data[[#This Row],[Date]],"dddd")</f>
        <v>Thursday</v>
      </c>
      <c r="I39" s="3">
        <f>IF(finance_data[[#This Row],[Type]]="Expense",-finance_data[[#This Row],[Amount]],finance_data[[#This Row],[Amount]])</f>
        <v>12000</v>
      </c>
    </row>
    <row r="40" spans="1:9" x14ac:dyDescent="0.3">
      <c r="A40" s="2">
        <v>46100</v>
      </c>
      <c r="B40" s="3" t="s">
        <v>10</v>
      </c>
      <c r="C40" s="3" t="s">
        <v>29</v>
      </c>
      <c r="D40" s="3" t="s">
        <v>13</v>
      </c>
      <c r="E40" s="3" t="s">
        <v>16</v>
      </c>
      <c r="F40" s="3">
        <v>250</v>
      </c>
      <c r="G40" s="3" t="str">
        <f>TEXT(finance_data[[#This Row],[Date]],"mmmm")</f>
        <v>March</v>
      </c>
      <c r="H40" s="3" t="str">
        <f>TEXT(finance_data[[#This Row],[Date]],"dddd")</f>
        <v>Thursday</v>
      </c>
      <c r="I40" s="3">
        <f>IF(finance_data[[#This Row],[Type]]="Expense",-finance_data[[#This Row],[Amount]],finance_data[[#This Row],[Amount]])</f>
        <v>-250</v>
      </c>
    </row>
    <row r="41" spans="1:9" x14ac:dyDescent="0.3">
      <c r="A41" s="2">
        <v>46101</v>
      </c>
      <c r="B41" s="3" t="s">
        <v>22</v>
      </c>
      <c r="C41" s="3" t="s">
        <v>53</v>
      </c>
      <c r="D41" s="3" t="s">
        <v>13</v>
      </c>
      <c r="E41" s="3" t="s">
        <v>14</v>
      </c>
      <c r="F41" s="3">
        <v>8900</v>
      </c>
      <c r="G41" s="3" t="str">
        <f>TEXT(finance_data[[#This Row],[Date]],"mmmm")</f>
        <v>March</v>
      </c>
      <c r="H41" s="3" t="str">
        <f>TEXT(finance_data[[#This Row],[Date]],"dddd")</f>
        <v>Friday</v>
      </c>
      <c r="I41" s="3">
        <f>IF(finance_data[[#This Row],[Type]]="Expense",-finance_data[[#This Row],[Amount]],finance_data[[#This Row],[Amount]])</f>
        <v>-8900</v>
      </c>
    </row>
    <row r="42" spans="1:9" x14ac:dyDescent="0.3">
      <c r="A42" s="2">
        <v>46101</v>
      </c>
      <c r="B42" s="3" t="s">
        <v>11</v>
      </c>
      <c r="C42" s="3" t="s">
        <v>28</v>
      </c>
      <c r="D42" s="3" t="s">
        <v>13</v>
      </c>
      <c r="E42" s="3" t="s">
        <v>16</v>
      </c>
      <c r="F42" s="3">
        <v>180</v>
      </c>
      <c r="G42" s="3" t="str">
        <f>TEXT(finance_data[[#This Row],[Date]],"mmmm")</f>
        <v>March</v>
      </c>
      <c r="H42" s="3" t="str">
        <f>TEXT(finance_data[[#This Row],[Date]],"dddd")</f>
        <v>Friday</v>
      </c>
      <c r="I42" s="3">
        <f>IF(finance_data[[#This Row],[Type]]="Expense",-finance_data[[#This Row],[Amount]],finance_data[[#This Row],[Amount]])</f>
        <v>-180</v>
      </c>
    </row>
    <row r="43" spans="1:9" x14ac:dyDescent="0.3">
      <c r="A43" s="2">
        <v>46102</v>
      </c>
      <c r="B43" s="3" t="s">
        <v>17</v>
      </c>
      <c r="C43" s="3" t="s">
        <v>54</v>
      </c>
      <c r="D43" s="3" t="s">
        <v>13</v>
      </c>
      <c r="E43" s="3" t="s">
        <v>9</v>
      </c>
      <c r="F43" s="3">
        <v>15000</v>
      </c>
      <c r="G43" s="3" t="str">
        <f>TEXT(finance_data[[#This Row],[Date]],"mmmm")</f>
        <v>March</v>
      </c>
      <c r="H43" s="3" t="str">
        <f>TEXT(finance_data[[#This Row],[Date]],"dddd")</f>
        <v>Saturday</v>
      </c>
      <c r="I43" s="3">
        <f>IF(finance_data[[#This Row],[Type]]="Expense",-finance_data[[#This Row],[Amount]],finance_data[[#This Row],[Amount]])</f>
        <v>-15000</v>
      </c>
    </row>
    <row r="44" spans="1:9" x14ac:dyDescent="0.3">
      <c r="A44" s="2">
        <v>46102</v>
      </c>
      <c r="B44" s="3" t="s">
        <v>10</v>
      </c>
      <c r="C44" s="3" t="s">
        <v>32</v>
      </c>
      <c r="D44" s="3" t="s">
        <v>13</v>
      </c>
      <c r="E44" s="3" t="s">
        <v>14</v>
      </c>
      <c r="F44" s="3">
        <v>1350</v>
      </c>
      <c r="G44" s="3" t="str">
        <f>TEXT(finance_data[[#This Row],[Date]],"mmmm")</f>
        <v>March</v>
      </c>
      <c r="H44" s="3" t="str">
        <f>TEXT(finance_data[[#This Row],[Date]],"dddd")</f>
        <v>Saturday</v>
      </c>
      <c r="I44" s="3">
        <f>IF(finance_data[[#This Row],[Type]]="Expense",-finance_data[[#This Row],[Amount]],finance_data[[#This Row],[Amount]])</f>
        <v>-1350</v>
      </c>
    </row>
    <row r="45" spans="1:9" ht="28.8" x14ac:dyDescent="0.3">
      <c r="A45" s="2">
        <v>46103</v>
      </c>
      <c r="B45" s="3" t="s">
        <v>30</v>
      </c>
      <c r="C45" s="3" t="s">
        <v>55</v>
      </c>
      <c r="D45" s="3" t="s">
        <v>13</v>
      </c>
      <c r="E45" s="3" t="s">
        <v>14</v>
      </c>
      <c r="F45" s="3">
        <v>6500</v>
      </c>
      <c r="G45" s="3" t="str">
        <f>TEXT(finance_data[[#This Row],[Date]],"mmmm")</f>
        <v>March</v>
      </c>
      <c r="H45" s="3" t="str">
        <f>TEXT(finance_data[[#This Row],[Date]],"dddd")</f>
        <v>Sunday</v>
      </c>
      <c r="I45" s="3">
        <f>IF(finance_data[[#This Row],[Type]]="Expense",-finance_data[[#This Row],[Amount]],finance_data[[#This Row],[Amount]])</f>
        <v>-6500</v>
      </c>
    </row>
    <row r="46" spans="1:9" x14ac:dyDescent="0.3">
      <c r="A46" s="2">
        <v>46103</v>
      </c>
      <c r="B46" s="3" t="s">
        <v>10</v>
      </c>
      <c r="C46" s="3" t="s">
        <v>12</v>
      </c>
      <c r="D46" s="3" t="s">
        <v>13</v>
      </c>
      <c r="E46" s="3" t="s">
        <v>16</v>
      </c>
      <c r="F46" s="3">
        <v>190</v>
      </c>
      <c r="G46" s="3" t="str">
        <f>TEXT(finance_data[[#This Row],[Date]],"mmmm")</f>
        <v>March</v>
      </c>
      <c r="H46" s="3" t="str">
        <f>TEXT(finance_data[[#This Row],[Date]],"dddd")</f>
        <v>Sunday</v>
      </c>
      <c r="I46" s="3">
        <f>IF(finance_data[[#This Row],[Type]]="Expense",-finance_data[[#This Row],[Amount]],finance_data[[#This Row],[Amount]])</f>
        <v>-190</v>
      </c>
    </row>
    <row r="47" spans="1:9" x14ac:dyDescent="0.3">
      <c r="A47" s="2">
        <v>46104</v>
      </c>
      <c r="B47" s="3" t="s">
        <v>37</v>
      </c>
      <c r="C47" s="3" t="s">
        <v>56</v>
      </c>
      <c r="D47" s="3" t="s">
        <v>13</v>
      </c>
      <c r="E47" s="3" t="s">
        <v>16</v>
      </c>
      <c r="F47" s="3">
        <v>2500</v>
      </c>
      <c r="G47" s="3" t="str">
        <f>TEXT(finance_data[[#This Row],[Date]],"mmmm")</f>
        <v>March</v>
      </c>
      <c r="H47" s="3" t="str">
        <f>TEXT(finance_data[[#This Row],[Date]],"dddd")</f>
        <v>Monday</v>
      </c>
      <c r="I47" s="3">
        <f>IF(finance_data[[#This Row],[Type]]="Expense",-finance_data[[#This Row],[Amount]],finance_data[[#This Row],[Amount]])</f>
        <v>-2500</v>
      </c>
    </row>
    <row r="48" spans="1:9" x14ac:dyDescent="0.3">
      <c r="A48" s="2">
        <v>46104</v>
      </c>
      <c r="B48" s="3" t="s">
        <v>11</v>
      </c>
      <c r="C48" s="3" t="s">
        <v>15</v>
      </c>
      <c r="D48" s="3" t="s">
        <v>13</v>
      </c>
      <c r="E48" s="3" t="s">
        <v>16</v>
      </c>
      <c r="F48" s="3">
        <v>100</v>
      </c>
      <c r="G48" s="3" t="str">
        <f>TEXT(finance_data[[#This Row],[Date]],"mmmm")</f>
        <v>March</v>
      </c>
      <c r="H48" s="3" t="str">
        <f>TEXT(finance_data[[#This Row],[Date]],"dddd")</f>
        <v>Monday</v>
      </c>
      <c r="I48" s="3">
        <f>IF(finance_data[[#This Row],[Type]]="Expense",-finance_data[[#This Row],[Amount]],finance_data[[#This Row],[Amount]])</f>
        <v>-100</v>
      </c>
    </row>
    <row r="49" spans="1:9" x14ac:dyDescent="0.3">
      <c r="A49" s="2">
        <v>46105</v>
      </c>
      <c r="B49" s="3" t="s">
        <v>22</v>
      </c>
      <c r="C49" s="3" t="s">
        <v>57</v>
      </c>
      <c r="D49" s="3" t="s">
        <v>13</v>
      </c>
      <c r="E49" s="3" t="s">
        <v>14</v>
      </c>
      <c r="F49" s="3">
        <v>7200</v>
      </c>
      <c r="G49" s="3" t="str">
        <f>TEXT(finance_data[[#This Row],[Date]],"mmmm")</f>
        <v>March</v>
      </c>
      <c r="H49" s="3" t="str">
        <f>TEXT(finance_data[[#This Row],[Date]],"dddd")</f>
        <v>Tuesday</v>
      </c>
      <c r="I49" s="3">
        <f>IF(finance_data[[#This Row],[Type]]="Expense",-finance_data[[#This Row],[Amount]],finance_data[[#This Row],[Amount]])</f>
        <v>-7200</v>
      </c>
    </row>
    <row r="50" spans="1:9" x14ac:dyDescent="0.3">
      <c r="A50" s="2">
        <v>46105</v>
      </c>
      <c r="B50" s="3" t="s">
        <v>10</v>
      </c>
      <c r="C50" s="3" t="s">
        <v>25</v>
      </c>
      <c r="D50" s="3" t="s">
        <v>13</v>
      </c>
      <c r="E50" s="3" t="s">
        <v>14</v>
      </c>
      <c r="F50" s="3">
        <v>980</v>
      </c>
      <c r="G50" s="3" t="str">
        <f>TEXT(finance_data[[#This Row],[Date]],"mmmm")</f>
        <v>March</v>
      </c>
      <c r="H50" s="3" t="str">
        <f>TEXT(finance_data[[#This Row],[Date]],"dddd")</f>
        <v>Tuesday</v>
      </c>
      <c r="I50" s="3">
        <f>IF(finance_data[[#This Row],[Type]]="Expense",-finance_data[[#This Row],[Amount]],finance_data[[#This Row],[Amount]])</f>
        <v>-980</v>
      </c>
    </row>
    <row r="51" spans="1:9" ht="28.8" x14ac:dyDescent="0.3">
      <c r="A51" s="2">
        <v>46106</v>
      </c>
      <c r="B51" s="3" t="s">
        <v>17</v>
      </c>
      <c r="C51" s="3" t="s">
        <v>58</v>
      </c>
      <c r="D51" s="3" t="s">
        <v>13</v>
      </c>
      <c r="E51" s="3" t="s">
        <v>9</v>
      </c>
      <c r="F51" s="3">
        <v>2900</v>
      </c>
      <c r="G51" s="3" t="str">
        <f>TEXT(finance_data[[#This Row],[Date]],"mmmm")</f>
        <v>March</v>
      </c>
      <c r="H51" s="3" t="str">
        <f>TEXT(finance_data[[#This Row],[Date]],"dddd")</f>
        <v>Wednesday</v>
      </c>
      <c r="I51" s="3">
        <f>IF(finance_data[[#This Row],[Type]]="Expense",-finance_data[[#This Row],[Amount]],finance_data[[#This Row],[Amount]])</f>
        <v>-2900</v>
      </c>
    </row>
    <row r="52" spans="1:9" ht="28.8" x14ac:dyDescent="0.3">
      <c r="A52" s="2">
        <v>46106</v>
      </c>
      <c r="B52" s="3" t="s">
        <v>30</v>
      </c>
      <c r="C52" s="3" t="s">
        <v>59</v>
      </c>
      <c r="D52" s="3" t="s">
        <v>13</v>
      </c>
      <c r="E52" s="3" t="s">
        <v>14</v>
      </c>
      <c r="F52" s="3">
        <v>999</v>
      </c>
      <c r="G52" s="3" t="str">
        <f>TEXT(finance_data[[#This Row],[Date]],"mmmm")</f>
        <v>March</v>
      </c>
      <c r="H52" s="3" t="str">
        <f>TEXT(finance_data[[#This Row],[Date]],"dddd")</f>
        <v>Wednesday</v>
      </c>
      <c r="I52" s="3">
        <f>IF(finance_data[[#This Row],[Type]]="Expense",-finance_data[[#This Row],[Amount]],finance_data[[#This Row],[Amount]])</f>
        <v>-999</v>
      </c>
    </row>
    <row r="53" spans="1:9" x14ac:dyDescent="0.3">
      <c r="A53" s="2">
        <v>46107</v>
      </c>
      <c r="B53" s="3" t="s">
        <v>23</v>
      </c>
      <c r="C53" s="3" t="s">
        <v>24</v>
      </c>
      <c r="D53" s="3" t="s">
        <v>8</v>
      </c>
      <c r="E53" s="3" t="s">
        <v>9</v>
      </c>
      <c r="F53" s="3">
        <v>20000</v>
      </c>
      <c r="G53" s="3" t="str">
        <f>TEXT(finance_data[[#This Row],[Date]],"mmmm")</f>
        <v>March</v>
      </c>
      <c r="H53" s="3" t="str">
        <f>TEXT(finance_data[[#This Row],[Date]],"dddd")</f>
        <v>Thursday</v>
      </c>
      <c r="I53" s="3">
        <f>IF(finance_data[[#This Row],[Type]]="Expense",-finance_data[[#This Row],[Amount]],finance_data[[#This Row],[Amount]])</f>
        <v>20000</v>
      </c>
    </row>
    <row r="54" spans="1:9" x14ac:dyDescent="0.3">
      <c r="A54" s="2">
        <v>46107</v>
      </c>
      <c r="B54" s="3" t="s">
        <v>10</v>
      </c>
      <c r="C54" s="3" t="s">
        <v>60</v>
      </c>
      <c r="D54" s="3" t="s">
        <v>13</v>
      </c>
      <c r="E54" s="3" t="s">
        <v>16</v>
      </c>
      <c r="F54" s="3">
        <v>450</v>
      </c>
      <c r="G54" s="3" t="str">
        <f>TEXT(finance_data[[#This Row],[Date]],"mmmm")</f>
        <v>March</v>
      </c>
      <c r="H54" s="3" t="str">
        <f>TEXT(finance_data[[#This Row],[Date]],"dddd")</f>
        <v>Thursday</v>
      </c>
      <c r="I54" s="3">
        <f>IF(finance_data[[#This Row],[Type]]="Expense",-finance_data[[#This Row],[Amount]],finance_data[[#This Row],[Amount]])</f>
        <v>-450</v>
      </c>
    </row>
    <row r="55" spans="1:9" x14ac:dyDescent="0.3">
      <c r="A55" s="2">
        <v>46108</v>
      </c>
      <c r="B55" s="3" t="s">
        <v>17</v>
      </c>
      <c r="C55" s="3" t="s">
        <v>61</v>
      </c>
      <c r="D55" s="3" t="s">
        <v>13</v>
      </c>
      <c r="E55" s="3" t="s">
        <v>14</v>
      </c>
      <c r="F55" s="3">
        <v>100</v>
      </c>
      <c r="G55" s="3" t="str">
        <f>TEXT(finance_data[[#This Row],[Date]],"mmmm")</f>
        <v>March</v>
      </c>
      <c r="H55" s="3" t="str">
        <f>TEXT(finance_data[[#This Row],[Date]],"dddd")</f>
        <v>Friday</v>
      </c>
      <c r="I55" s="3">
        <f>IF(finance_data[[#This Row],[Type]]="Expense",-finance_data[[#This Row],[Amount]],finance_data[[#This Row],[Amount]])</f>
        <v>-100</v>
      </c>
    </row>
    <row r="56" spans="1:9" x14ac:dyDescent="0.3">
      <c r="A56" s="2">
        <v>46108</v>
      </c>
      <c r="B56" s="3" t="s">
        <v>11</v>
      </c>
      <c r="C56" s="3" t="s">
        <v>35</v>
      </c>
      <c r="D56" s="3" t="s">
        <v>13</v>
      </c>
      <c r="E56" s="3" t="s">
        <v>16</v>
      </c>
      <c r="F56" s="3">
        <v>1250</v>
      </c>
      <c r="G56" s="3" t="str">
        <f>TEXT(finance_data[[#This Row],[Date]],"mmmm")</f>
        <v>March</v>
      </c>
      <c r="H56" s="3" t="str">
        <f>TEXT(finance_data[[#This Row],[Date]],"dddd")</f>
        <v>Friday</v>
      </c>
      <c r="I56" s="3">
        <f>IF(finance_data[[#This Row],[Type]]="Expense",-finance_data[[#This Row],[Amount]],finance_data[[#This Row],[Amount]])</f>
        <v>-1250</v>
      </c>
    </row>
    <row r="57" spans="1:9" x14ac:dyDescent="0.3">
      <c r="A57" s="2">
        <v>46109</v>
      </c>
      <c r="B57" s="3" t="s">
        <v>11</v>
      </c>
      <c r="C57" s="3" t="s">
        <v>15</v>
      </c>
      <c r="D57" s="3" t="s">
        <v>13</v>
      </c>
      <c r="E57" s="3" t="s">
        <v>16</v>
      </c>
      <c r="F57" s="3">
        <v>100</v>
      </c>
      <c r="G57" s="3" t="str">
        <f>TEXT(finance_data[[#This Row],[Date]],"mmmm")</f>
        <v>March</v>
      </c>
      <c r="H57" s="3" t="str">
        <f>TEXT(finance_data[[#This Row],[Date]],"dddd")</f>
        <v>Saturday</v>
      </c>
      <c r="I57" s="3">
        <f>IF(finance_data[[#This Row],[Type]]="Expense",-finance_data[[#This Row],[Amount]],finance_data[[#This Row],[Amount]])</f>
        <v>-100</v>
      </c>
    </row>
    <row r="58" spans="1:9" x14ac:dyDescent="0.3">
      <c r="A58" s="2">
        <v>46109</v>
      </c>
      <c r="B58" s="3" t="s">
        <v>10</v>
      </c>
      <c r="C58" s="3" t="s">
        <v>62</v>
      </c>
      <c r="D58" s="3" t="s">
        <v>13</v>
      </c>
      <c r="E58" s="3" t="s">
        <v>16</v>
      </c>
      <c r="F58" s="3">
        <v>1200</v>
      </c>
      <c r="G58" s="3" t="str">
        <f>TEXT(finance_data[[#This Row],[Date]],"mmmm")</f>
        <v>March</v>
      </c>
      <c r="H58" s="3" t="str">
        <f>TEXT(finance_data[[#This Row],[Date]],"dddd")</f>
        <v>Saturday</v>
      </c>
      <c r="I58" s="3">
        <f>IF(finance_data[[#This Row],[Type]]="Expense",-finance_data[[#This Row],[Amount]],finance_data[[#This Row],[Amount]])</f>
        <v>-1200</v>
      </c>
    </row>
    <row r="59" spans="1:9" x14ac:dyDescent="0.3">
      <c r="A59" s="2">
        <v>46110</v>
      </c>
      <c r="B59" s="3" t="s">
        <v>22</v>
      </c>
      <c r="C59" s="3" t="s">
        <v>63</v>
      </c>
      <c r="D59" s="3" t="s">
        <v>13</v>
      </c>
      <c r="E59" s="3" t="s">
        <v>14</v>
      </c>
      <c r="F59" s="3">
        <v>5400</v>
      </c>
      <c r="G59" s="3" t="str">
        <f>TEXT(finance_data[[#This Row],[Date]],"mmmm")</f>
        <v>March</v>
      </c>
      <c r="H59" s="3" t="str">
        <f>TEXT(finance_data[[#This Row],[Date]],"dddd")</f>
        <v>Sunday</v>
      </c>
      <c r="I59" s="3">
        <f>IF(finance_data[[#This Row],[Type]]="Expense",-finance_data[[#This Row],[Amount]],finance_data[[#This Row],[Amount]])</f>
        <v>-5400</v>
      </c>
    </row>
    <row r="60" spans="1:9" ht="28.8" x14ac:dyDescent="0.3">
      <c r="A60" s="2">
        <v>46110</v>
      </c>
      <c r="B60" s="3" t="s">
        <v>30</v>
      </c>
      <c r="C60" s="3" t="s">
        <v>64</v>
      </c>
      <c r="D60" s="3" t="s">
        <v>13</v>
      </c>
      <c r="E60" s="3" t="s">
        <v>14</v>
      </c>
      <c r="F60" s="3">
        <v>2200</v>
      </c>
      <c r="G60" s="3" t="str">
        <f>TEXT(finance_data[[#This Row],[Date]],"mmmm")</f>
        <v>March</v>
      </c>
      <c r="H60" s="3" t="str">
        <f>TEXT(finance_data[[#This Row],[Date]],"dddd")</f>
        <v>Sunday</v>
      </c>
      <c r="I60" s="3">
        <f>IF(finance_data[[#This Row],[Type]]="Expense",-finance_data[[#This Row],[Amount]],finance_data[[#This Row],[Amount]])</f>
        <v>-2200</v>
      </c>
    </row>
    <row r="61" spans="1:9" x14ac:dyDescent="0.3">
      <c r="A61" s="2">
        <v>46111</v>
      </c>
      <c r="B61" s="3" t="s">
        <v>10</v>
      </c>
      <c r="C61" s="3" t="s">
        <v>32</v>
      </c>
      <c r="D61" s="3" t="s">
        <v>13</v>
      </c>
      <c r="E61" s="3" t="s">
        <v>14</v>
      </c>
      <c r="F61" s="3">
        <v>1700</v>
      </c>
      <c r="G61" s="3" t="str">
        <f>TEXT(finance_data[[#This Row],[Date]],"mmmm")</f>
        <v>March</v>
      </c>
      <c r="H61" s="3" t="str">
        <f>TEXT(finance_data[[#This Row],[Date]],"dddd")</f>
        <v>Monday</v>
      </c>
      <c r="I61" s="3">
        <f>IF(finance_data[[#This Row],[Type]]="Expense",-finance_data[[#This Row],[Amount]],finance_data[[#This Row],[Amount]])</f>
        <v>-1700</v>
      </c>
    </row>
    <row r="62" spans="1:9" x14ac:dyDescent="0.3">
      <c r="A62" s="2">
        <v>46111</v>
      </c>
      <c r="B62" s="3" t="s">
        <v>11</v>
      </c>
      <c r="C62" s="3" t="s">
        <v>28</v>
      </c>
      <c r="D62" s="3" t="s">
        <v>13</v>
      </c>
      <c r="E62" s="3" t="s">
        <v>16</v>
      </c>
      <c r="F62" s="3">
        <v>250</v>
      </c>
      <c r="G62" s="3" t="str">
        <f>TEXT(finance_data[[#This Row],[Date]],"mmmm")</f>
        <v>March</v>
      </c>
      <c r="H62" s="3" t="str">
        <f>TEXT(finance_data[[#This Row],[Date]],"dddd")</f>
        <v>Monday</v>
      </c>
      <c r="I62" s="3">
        <f>IF(finance_data[[#This Row],[Type]]="Expense",-finance_data[[#This Row],[Amount]],finance_data[[#This Row],[Amount]])</f>
        <v>-250</v>
      </c>
    </row>
    <row r="63" spans="1:9" x14ac:dyDescent="0.3">
      <c r="A63" s="2">
        <v>46112</v>
      </c>
      <c r="B63" s="3" t="s">
        <v>23</v>
      </c>
      <c r="C63" s="3" t="s">
        <v>65</v>
      </c>
      <c r="D63" s="3" t="s">
        <v>8</v>
      </c>
      <c r="E63" s="3" t="s">
        <v>9</v>
      </c>
      <c r="F63" s="3">
        <v>8000</v>
      </c>
      <c r="G63" s="3" t="str">
        <f>TEXT(finance_data[[#This Row],[Date]],"mmmm")</f>
        <v>March</v>
      </c>
      <c r="H63" s="3" t="str">
        <f>TEXT(finance_data[[#This Row],[Date]],"dddd")</f>
        <v>Tuesday</v>
      </c>
      <c r="I63" s="3">
        <f>IF(finance_data[[#This Row],[Type]]="Expense",-finance_data[[#This Row],[Amount]],finance_data[[#This Row],[Amount]])</f>
        <v>8000</v>
      </c>
    </row>
    <row r="64" spans="1:9" x14ac:dyDescent="0.3">
      <c r="A64" s="2">
        <v>46112</v>
      </c>
      <c r="B64" s="3" t="s">
        <v>17</v>
      </c>
      <c r="C64" s="3" t="s">
        <v>36</v>
      </c>
      <c r="D64" s="3" t="s">
        <v>13</v>
      </c>
      <c r="E64" s="3" t="s">
        <v>9</v>
      </c>
      <c r="F64" s="3">
        <v>3900</v>
      </c>
      <c r="G64" s="3" t="str">
        <f>TEXT(finance_data[[#This Row],[Date]],"mmmm")</f>
        <v>March</v>
      </c>
      <c r="H64" s="3" t="str">
        <f>TEXT(finance_data[[#This Row],[Date]],"dddd")</f>
        <v>Tuesday</v>
      </c>
      <c r="I64" s="3">
        <f>IF(finance_data[[#This Row],[Type]]="Expense",-finance_data[[#This Row],[Amount]],finance_data[[#This Row],[Amount]])</f>
        <v>-3900</v>
      </c>
    </row>
    <row r="65" spans="1:9" ht="28.8" x14ac:dyDescent="0.3">
      <c r="A65" s="2">
        <v>46113</v>
      </c>
      <c r="B65" s="3" t="s">
        <v>10</v>
      </c>
      <c r="C65" s="3" t="s">
        <v>12</v>
      </c>
      <c r="D65" s="3" t="s">
        <v>13</v>
      </c>
      <c r="E65" s="3" t="s">
        <v>16</v>
      </c>
      <c r="F65" s="3">
        <v>280</v>
      </c>
      <c r="G65" s="3" t="str">
        <f>TEXT(finance_data[[#This Row],[Date]],"mmmm")</f>
        <v>April</v>
      </c>
      <c r="H65" s="3" t="str">
        <f>TEXT(finance_data[[#This Row],[Date]],"dddd")</f>
        <v>Wednesday</v>
      </c>
      <c r="I65" s="3">
        <f>IF(finance_data[[#This Row],[Type]]="Expense",-finance_data[[#This Row],[Amount]],finance_data[[#This Row],[Amount]])</f>
        <v>-280</v>
      </c>
    </row>
    <row r="66" spans="1:9" ht="28.8" x14ac:dyDescent="0.3">
      <c r="A66" s="2">
        <v>46113</v>
      </c>
      <c r="B66" s="3" t="s">
        <v>22</v>
      </c>
      <c r="C66" s="3" t="s">
        <v>66</v>
      </c>
      <c r="D66" s="3" t="s">
        <v>13</v>
      </c>
      <c r="E66" s="3" t="s">
        <v>14</v>
      </c>
      <c r="F66" s="3">
        <v>4300</v>
      </c>
      <c r="G66" s="3" t="str">
        <f>TEXT(finance_data[[#This Row],[Date]],"mmmm")</f>
        <v>April</v>
      </c>
      <c r="H66" s="3" t="str">
        <f>TEXT(finance_data[[#This Row],[Date]],"dddd")</f>
        <v>Wednesday</v>
      </c>
      <c r="I66" s="3">
        <f>IF(finance_data[[#This Row],[Type]]="Expense",-finance_data[[#This Row],[Amount]],finance_data[[#This Row],[Amount]])</f>
        <v>-4300</v>
      </c>
    </row>
    <row r="67" spans="1:9" x14ac:dyDescent="0.3">
      <c r="A67" s="2">
        <v>46114</v>
      </c>
      <c r="B67" s="3" t="s">
        <v>11</v>
      </c>
      <c r="C67" s="3" t="s">
        <v>15</v>
      </c>
      <c r="D67" s="3" t="s">
        <v>13</v>
      </c>
      <c r="E67" s="3" t="s">
        <v>16</v>
      </c>
      <c r="F67" s="3">
        <v>120</v>
      </c>
      <c r="G67" s="3" t="str">
        <f>TEXT(finance_data[[#This Row],[Date]],"mmmm")</f>
        <v>April</v>
      </c>
      <c r="H67" s="3" t="str">
        <f>TEXT(finance_data[[#This Row],[Date]],"dddd")</f>
        <v>Thursday</v>
      </c>
      <c r="I67" s="3">
        <f>IF(finance_data[[#This Row],[Type]]="Expense",-finance_data[[#This Row],[Amount]],finance_data[[#This Row],[Amount]])</f>
        <v>-120</v>
      </c>
    </row>
    <row r="68" spans="1:9" ht="28.8" x14ac:dyDescent="0.3">
      <c r="A68" s="2">
        <v>46114</v>
      </c>
      <c r="B68" s="3" t="s">
        <v>30</v>
      </c>
      <c r="C68" s="3" t="s">
        <v>67</v>
      </c>
      <c r="D68" s="3" t="s">
        <v>13</v>
      </c>
      <c r="E68" s="3" t="s">
        <v>14</v>
      </c>
      <c r="F68" s="3">
        <v>1200</v>
      </c>
      <c r="G68" s="3" t="str">
        <f>TEXT(finance_data[[#This Row],[Date]],"mmmm")</f>
        <v>April</v>
      </c>
      <c r="H68" s="3" t="str">
        <f>TEXT(finance_data[[#This Row],[Date]],"dddd")</f>
        <v>Thursday</v>
      </c>
      <c r="I68" s="3">
        <f>IF(finance_data[[#This Row],[Type]]="Expense",-finance_data[[#This Row],[Amount]],finance_data[[#This Row],[Amount]])</f>
        <v>-1200</v>
      </c>
    </row>
    <row r="69" spans="1:9" x14ac:dyDescent="0.3">
      <c r="A69" s="2">
        <v>46115</v>
      </c>
      <c r="B69" s="3" t="s">
        <v>10</v>
      </c>
      <c r="C69" s="3" t="s">
        <v>34</v>
      </c>
      <c r="D69" s="3" t="s">
        <v>13</v>
      </c>
      <c r="E69" s="3" t="s">
        <v>14</v>
      </c>
      <c r="F69" s="3">
        <v>2600</v>
      </c>
      <c r="G69" s="3" t="str">
        <f>TEXT(finance_data[[#This Row],[Date]],"mmmm")</f>
        <v>April</v>
      </c>
      <c r="H69" s="3" t="str">
        <f>TEXT(finance_data[[#This Row],[Date]],"dddd")</f>
        <v>Friday</v>
      </c>
      <c r="I69" s="3">
        <f>IF(finance_data[[#This Row],[Type]]="Expense",-finance_data[[#This Row],[Amount]],finance_data[[#This Row],[Amount]])</f>
        <v>-2600</v>
      </c>
    </row>
    <row r="70" spans="1:9" x14ac:dyDescent="0.3">
      <c r="A70" s="2">
        <v>46115</v>
      </c>
      <c r="B70" s="3" t="s">
        <v>17</v>
      </c>
      <c r="C70" s="3" t="s">
        <v>27</v>
      </c>
      <c r="D70" s="3" t="s">
        <v>13</v>
      </c>
      <c r="E70" s="3" t="s">
        <v>9</v>
      </c>
      <c r="F70" s="3">
        <v>2500</v>
      </c>
      <c r="G70" s="3" t="str">
        <f>TEXT(finance_data[[#This Row],[Date]],"mmmm")</f>
        <v>April</v>
      </c>
      <c r="H70" s="3" t="str">
        <f>TEXT(finance_data[[#This Row],[Date]],"dddd")</f>
        <v>Friday</v>
      </c>
      <c r="I70" s="3">
        <f>IF(finance_data[[#This Row],[Type]]="Expense",-finance_data[[#This Row],[Amount]],finance_data[[#This Row],[Amount]])</f>
        <v>-2500</v>
      </c>
    </row>
    <row r="71" spans="1:9" x14ac:dyDescent="0.3">
      <c r="A71" s="2">
        <v>46116</v>
      </c>
      <c r="B71" s="3" t="s">
        <v>22</v>
      </c>
      <c r="C71" s="3" t="s">
        <v>68</v>
      </c>
      <c r="D71" s="3" t="s">
        <v>13</v>
      </c>
      <c r="E71" s="3" t="s">
        <v>14</v>
      </c>
      <c r="F71" s="3">
        <v>3100</v>
      </c>
      <c r="G71" s="3" t="str">
        <f>TEXT(finance_data[[#This Row],[Date]],"mmmm")</f>
        <v>April</v>
      </c>
      <c r="H71" s="3" t="str">
        <f>TEXT(finance_data[[#This Row],[Date]],"dddd")</f>
        <v>Saturday</v>
      </c>
      <c r="I71" s="3">
        <f>IF(finance_data[[#This Row],[Type]]="Expense",-finance_data[[#This Row],[Amount]],finance_data[[#This Row],[Amount]])</f>
        <v>-3100</v>
      </c>
    </row>
    <row r="72" spans="1:9" x14ac:dyDescent="0.3">
      <c r="A72" s="2">
        <v>46116</v>
      </c>
      <c r="B72" s="3" t="s">
        <v>10</v>
      </c>
      <c r="C72" s="3" t="s">
        <v>42</v>
      </c>
      <c r="D72" s="3" t="s">
        <v>13</v>
      </c>
      <c r="E72" s="3" t="s">
        <v>16</v>
      </c>
      <c r="F72" s="3">
        <v>220</v>
      </c>
      <c r="G72" s="3" t="str">
        <f>TEXT(finance_data[[#This Row],[Date]],"mmmm")</f>
        <v>April</v>
      </c>
      <c r="H72" s="3" t="str">
        <f>TEXT(finance_data[[#This Row],[Date]],"dddd")</f>
        <v>Saturday</v>
      </c>
      <c r="I72" s="3">
        <f>IF(finance_data[[#This Row],[Type]]="Expense",-finance_data[[#This Row],[Amount]],finance_data[[#This Row],[Amount]])</f>
        <v>-220</v>
      </c>
    </row>
    <row r="73" spans="1:9" x14ac:dyDescent="0.3">
      <c r="A73" s="2">
        <v>46117</v>
      </c>
      <c r="B73" s="3" t="s">
        <v>11</v>
      </c>
      <c r="C73" s="3" t="s">
        <v>35</v>
      </c>
      <c r="D73" s="3" t="s">
        <v>13</v>
      </c>
      <c r="E73" s="3" t="s">
        <v>16</v>
      </c>
      <c r="F73" s="3">
        <v>800</v>
      </c>
      <c r="G73" s="3" t="str">
        <f>TEXT(finance_data[[#This Row],[Date]],"mmmm")</f>
        <v>April</v>
      </c>
      <c r="H73" s="3" t="str">
        <f>TEXT(finance_data[[#This Row],[Date]],"dddd")</f>
        <v>Sunday</v>
      </c>
      <c r="I73" s="3">
        <f>IF(finance_data[[#This Row],[Type]]="Expense",-finance_data[[#This Row],[Amount]],finance_data[[#This Row],[Amount]])</f>
        <v>-800</v>
      </c>
    </row>
    <row r="74" spans="1:9" x14ac:dyDescent="0.3">
      <c r="A74" s="2">
        <v>46117</v>
      </c>
      <c r="B74" s="3" t="s">
        <v>37</v>
      </c>
      <c r="C74" s="3" t="s">
        <v>69</v>
      </c>
      <c r="D74" s="3" t="s">
        <v>13</v>
      </c>
      <c r="E74" s="3" t="s">
        <v>14</v>
      </c>
      <c r="F74" s="3">
        <v>1500</v>
      </c>
      <c r="G74" s="3" t="str">
        <f>TEXT(finance_data[[#This Row],[Date]],"mmmm")</f>
        <v>April</v>
      </c>
      <c r="H74" s="3" t="str">
        <f>TEXT(finance_data[[#This Row],[Date]],"dddd")</f>
        <v>Sunday</v>
      </c>
      <c r="I74" s="3">
        <f>IF(finance_data[[#This Row],[Type]]="Expense",-finance_data[[#This Row],[Amount]],finance_data[[#This Row],[Amount]])</f>
        <v>-1500</v>
      </c>
    </row>
    <row r="75" spans="1:9" x14ac:dyDescent="0.3">
      <c r="A75" s="2">
        <v>46118</v>
      </c>
      <c r="B75" s="3" t="s">
        <v>10</v>
      </c>
      <c r="C75" s="3" t="s">
        <v>39</v>
      </c>
      <c r="D75" s="3" t="s">
        <v>13</v>
      </c>
      <c r="E75" s="3" t="s">
        <v>16</v>
      </c>
      <c r="F75" s="3">
        <v>420</v>
      </c>
      <c r="G75" s="3" t="str">
        <f>TEXT(finance_data[[#This Row],[Date]],"mmmm")</f>
        <v>April</v>
      </c>
      <c r="H75" s="3" t="str">
        <f>TEXT(finance_data[[#This Row],[Date]],"dddd")</f>
        <v>Monday</v>
      </c>
      <c r="I75" s="3">
        <f>IF(finance_data[[#This Row],[Type]]="Expense",-finance_data[[#This Row],[Amount]],finance_data[[#This Row],[Amount]])</f>
        <v>-420</v>
      </c>
    </row>
    <row r="76" spans="1:9" ht="28.8" x14ac:dyDescent="0.3">
      <c r="A76" s="2">
        <v>46118</v>
      </c>
      <c r="B76" s="3" t="s">
        <v>30</v>
      </c>
      <c r="C76" s="3" t="s">
        <v>70</v>
      </c>
      <c r="D76" s="3" t="s">
        <v>13</v>
      </c>
      <c r="E76" s="3" t="s">
        <v>14</v>
      </c>
      <c r="F76" s="3">
        <v>7800</v>
      </c>
      <c r="G76" s="3" t="str">
        <f>TEXT(finance_data[[#This Row],[Date]],"mmmm")</f>
        <v>April</v>
      </c>
      <c r="H76" s="3" t="str">
        <f>TEXT(finance_data[[#This Row],[Date]],"dddd")</f>
        <v>Monday</v>
      </c>
      <c r="I76" s="3">
        <f>IF(finance_data[[#This Row],[Type]]="Expense",-finance_data[[#This Row],[Amount]],finance_data[[#This Row],[Amount]])</f>
        <v>-7800</v>
      </c>
    </row>
    <row r="77" spans="1:9" x14ac:dyDescent="0.3">
      <c r="A77" s="2">
        <v>46119</v>
      </c>
      <c r="B77" s="3" t="s">
        <v>23</v>
      </c>
      <c r="C77" s="3" t="s">
        <v>71</v>
      </c>
      <c r="D77" s="3" t="s">
        <v>8</v>
      </c>
      <c r="E77" s="3" t="s">
        <v>9</v>
      </c>
      <c r="F77" s="3">
        <v>10000</v>
      </c>
      <c r="G77" s="3" t="str">
        <f>TEXT(finance_data[[#This Row],[Date]],"mmmm")</f>
        <v>April</v>
      </c>
      <c r="H77" s="3" t="str">
        <f>TEXT(finance_data[[#This Row],[Date]],"dddd")</f>
        <v>Tuesday</v>
      </c>
      <c r="I77" s="3">
        <f>IF(finance_data[[#This Row],[Type]]="Expense",-finance_data[[#This Row],[Amount]],finance_data[[#This Row],[Amount]])</f>
        <v>10000</v>
      </c>
    </row>
    <row r="78" spans="1:9" x14ac:dyDescent="0.3">
      <c r="A78" s="2">
        <v>46119</v>
      </c>
      <c r="B78" s="3" t="s">
        <v>22</v>
      </c>
      <c r="C78" s="3" t="s">
        <v>72</v>
      </c>
      <c r="D78" s="3" t="s">
        <v>13</v>
      </c>
      <c r="E78" s="3" t="s">
        <v>14</v>
      </c>
      <c r="F78" s="3">
        <v>3600</v>
      </c>
      <c r="G78" s="3" t="str">
        <f>TEXT(finance_data[[#This Row],[Date]],"mmmm")</f>
        <v>April</v>
      </c>
      <c r="H78" s="3" t="str">
        <f>TEXT(finance_data[[#This Row],[Date]],"dddd")</f>
        <v>Tuesday</v>
      </c>
      <c r="I78" s="3">
        <f>IF(finance_data[[#This Row],[Type]]="Expense",-finance_data[[#This Row],[Amount]],finance_data[[#This Row],[Amount]])</f>
        <v>-3600</v>
      </c>
    </row>
    <row r="79" spans="1:9" ht="28.8" x14ac:dyDescent="0.3">
      <c r="A79" s="2">
        <v>46120</v>
      </c>
      <c r="B79" s="3" t="s">
        <v>17</v>
      </c>
      <c r="C79" s="3" t="s">
        <v>43</v>
      </c>
      <c r="D79" s="3" t="s">
        <v>13</v>
      </c>
      <c r="E79" s="3" t="s">
        <v>9</v>
      </c>
      <c r="F79" s="3">
        <v>1200</v>
      </c>
      <c r="G79" s="3" t="str">
        <f>TEXT(finance_data[[#This Row],[Date]],"mmmm")</f>
        <v>April</v>
      </c>
      <c r="H79" s="3" t="str">
        <f>TEXT(finance_data[[#This Row],[Date]],"dddd")</f>
        <v>Wednesday</v>
      </c>
      <c r="I79" s="3">
        <f>IF(finance_data[[#This Row],[Type]]="Expense",-finance_data[[#This Row],[Amount]],finance_data[[#This Row],[Amount]])</f>
        <v>-1200</v>
      </c>
    </row>
    <row r="80" spans="1:9" ht="28.8" x14ac:dyDescent="0.3">
      <c r="A80" s="2">
        <v>46120</v>
      </c>
      <c r="B80" s="3" t="s">
        <v>10</v>
      </c>
      <c r="C80" s="3" t="s">
        <v>25</v>
      </c>
      <c r="D80" s="3" t="s">
        <v>13</v>
      </c>
      <c r="E80" s="3" t="s">
        <v>14</v>
      </c>
      <c r="F80" s="3">
        <v>950</v>
      </c>
      <c r="G80" s="3" t="str">
        <f>TEXT(finance_data[[#This Row],[Date]],"mmmm")</f>
        <v>April</v>
      </c>
      <c r="H80" s="3" t="str">
        <f>TEXT(finance_data[[#This Row],[Date]],"dddd")</f>
        <v>Wednesday</v>
      </c>
      <c r="I80" s="3">
        <f>IF(finance_data[[#This Row],[Type]]="Expense",-finance_data[[#This Row],[Amount]],finance_data[[#This Row],[Amount]])</f>
        <v>-950</v>
      </c>
    </row>
    <row r="81" spans="1:9" x14ac:dyDescent="0.3">
      <c r="A81" s="2">
        <v>46121</v>
      </c>
      <c r="B81" s="3" t="s">
        <v>11</v>
      </c>
      <c r="C81" s="3" t="s">
        <v>15</v>
      </c>
      <c r="D81" s="3" t="s">
        <v>13</v>
      </c>
      <c r="E81" s="3" t="s">
        <v>16</v>
      </c>
      <c r="F81" s="3">
        <v>150</v>
      </c>
      <c r="G81" s="3" t="str">
        <f>TEXT(finance_data[[#This Row],[Date]],"mmmm")</f>
        <v>April</v>
      </c>
      <c r="H81" s="3" t="str">
        <f>TEXT(finance_data[[#This Row],[Date]],"dddd")</f>
        <v>Thursday</v>
      </c>
      <c r="I81" s="3">
        <f>IF(finance_data[[#This Row],[Type]]="Expense",-finance_data[[#This Row],[Amount]],finance_data[[#This Row],[Amount]])</f>
        <v>-150</v>
      </c>
    </row>
    <row r="82" spans="1:9" x14ac:dyDescent="0.3">
      <c r="A82" s="2">
        <v>46121</v>
      </c>
      <c r="B82" s="3" t="s">
        <v>22</v>
      </c>
      <c r="C82" s="3" t="s">
        <v>73</v>
      </c>
      <c r="D82" s="3" t="s">
        <v>13</v>
      </c>
      <c r="E82" s="3" t="s">
        <v>14</v>
      </c>
      <c r="F82" s="3">
        <v>6400</v>
      </c>
      <c r="G82" s="3" t="str">
        <f>TEXT(finance_data[[#This Row],[Date]],"mmmm")</f>
        <v>April</v>
      </c>
      <c r="H82" s="3" t="str">
        <f>TEXT(finance_data[[#This Row],[Date]],"dddd")</f>
        <v>Thursday</v>
      </c>
      <c r="I82" s="3">
        <f>IF(finance_data[[#This Row],[Type]]="Expense",-finance_data[[#This Row],[Amount]],finance_data[[#This Row],[Amount]])</f>
        <v>-6400</v>
      </c>
    </row>
    <row r="83" spans="1:9" x14ac:dyDescent="0.3">
      <c r="A83" s="2">
        <v>46122</v>
      </c>
      <c r="B83" s="3" t="s">
        <v>10</v>
      </c>
      <c r="C83" s="3" t="s">
        <v>29</v>
      </c>
      <c r="D83" s="3" t="s">
        <v>13</v>
      </c>
      <c r="E83" s="3" t="s">
        <v>16</v>
      </c>
      <c r="F83" s="3">
        <v>180</v>
      </c>
      <c r="G83" s="3" t="str">
        <f>TEXT(finance_data[[#This Row],[Date]],"mmmm")</f>
        <v>April</v>
      </c>
      <c r="H83" s="3" t="str">
        <f>TEXT(finance_data[[#This Row],[Date]],"dddd")</f>
        <v>Friday</v>
      </c>
      <c r="I83" s="3">
        <f>IF(finance_data[[#This Row],[Type]]="Expense",-finance_data[[#This Row],[Amount]],finance_data[[#This Row],[Amount]])</f>
        <v>-180</v>
      </c>
    </row>
    <row r="84" spans="1:9" ht="28.8" x14ac:dyDescent="0.3">
      <c r="A84" s="2">
        <v>46122</v>
      </c>
      <c r="B84" s="3" t="s">
        <v>30</v>
      </c>
      <c r="C84" s="3" t="s">
        <v>31</v>
      </c>
      <c r="D84" s="3" t="s">
        <v>13</v>
      </c>
      <c r="E84" s="3" t="s">
        <v>14</v>
      </c>
      <c r="F84" s="3">
        <v>2000</v>
      </c>
      <c r="G84" s="3" t="str">
        <f>TEXT(finance_data[[#This Row],[Date]],"mmmm")</f>
        <v>April</v>
      </c>
      <c r="H84" s="3" t="str">
        <f>TEXT(finance_data[[#This Row],[Date]],"dddd")</f>
        <v>Friday</v>
      </c>
      <c r="I84" s="3">
        <f>IF(finance_data[[#This Row],[Type]]="Expense",-finance_data[[#This Row],[Amount]],finance_data[[#This Row],[Amount]])</f>
        <v>-2000</v>
      </c>
    </row>
    <row r="85" spans="1:9" ht="28.8" x14ac:dyDescent="0.3">
      <c r="A85" s="2">
        <v>46123</v>
      </c>
      <c r="B85" s="3" t="s">
        <v>17</v>
      </c>
      <c r="C85" s="3" t="s">
        <v>50</v>
      </c>
      <c r="D85" s="3" t="s">
        <v>13</v>
      </c>
      <c r="E85" s="3" t="s">
        <v>14</v>
      </c>
      <c r="F85" s="3">
        <v>750</v>
      </c>
      <c r="G85" s="3" t="str">
        <f>TEXT(finance_data[[#This Row],[Date]],"mmmm")</f>
        <v>April</v>
      </c>
      <c r="H85" s="3" t="str">
        <f>TEXT(finance_data[[#This Row],[Date]],"dddd")</f>
        <v>Saturday</v>
      </c>
      <c r="I85" s="3">
        <f>IF(finance_data[[#This Row],[Type]]="Expense",-finance_data[[#This Row],[Amount]],finance_data[[#This Row],[Amount]])</f>
        <v>-750</v>
      </c>
    </row>
    <row r="86" spans="1:9" x14ac:dyDescent="0.3">
      <c r="A86" s="2">
        <v>46123</v>
      </c>
      <c r="B86" s="3" t="s">
        <v>10</v>
      </c>
      <c r="C86" s="3" t="s">
        <v>45</v>
      </c>
      <c r="D86" s="3" t="s">
        <v>13</v>
      </c>
      <c r="E86" s="3" t="s">
        <v>14</v>
      </c>
      <c r="F86" s="3">
        <v>1100</v>
      </c>
      <c r="G86" s="3" t="str">
        <f>TEXT(finance_data[[#This Row],[Date]],"mmmm")</f>
        <v>April</v>
      </c>
      <c r="H86" s="3" t="str">
        <f>TEXT(finance_data[[#This Row],[Date]],"dddd")</f>
        <v>Saturday</v>
      </c>
      <c r="I86" s="3">
        <f>IF(finance_data[[#This Row],[Type]]="Expense",-finance_data[[#This Row],[Amount]],finance_data[[#This Row],[Amount]])</f>
        <v>-1100</v>
      </c>
    </row>
    <row r="87" spans="1:9" x14ac:dyDescent="0.3">
      <c r="A87" s="2">
        <v>46124</v>
      </c>
      <c r="B87" s="3" t="s">
        <v>22</v>
      </c>
      <c r="C87" s="3" t="s">
        <v>74</v>
      </c>
      <c r="D87" s="3" t="s">
        <v>13</v>
      </c>
      <c r="E87" s="3" t="s">
        <v>14</v>
      </c>
      <c r="F87" s="3">
        <v>2500</v>
      </c>
      <c r="G87" s="3" t="str">
        <f>TEXT(finance_data[[#This Row],[Date]],"mmmm")</f>
        <v>April</v>
      </c>
      <c r="H87" s="3" t="str">
        <f>TEXT(finance_data[[#This Row],[Date]],"dddd")</f>
        <v>Sunday</v>
      </c>
      <c r="I87" s="3">
        <f>IF(finance_data[[#This Row],[Type]]="Expense",-finance_data[[#This Row],[Amount]],finance_data[[#This Row],[Amount]])</f>
        <v>-2500</v>
      </c>
    </row>
    <row r="88" spans="1:9" x14ac:dyDescent="0.3">
      <c r="A88" s="2">
        <v>46124</v>
      </c>
      <c r="B88" s="3" t="s">
        <v>11</v>
      </c>
      <c r="C88" s="3" t="s">
        <v>28</v>
      </c>
      <c r="D88" s="3" t="s">
        <v>13</v>
      </c>
      <c r="E88" s="3" t="s">
        <v>16</v>
      </c>
      <c r="F88" s="3">
        <v>220</v>
      </c>
      <c r="G88" s="3" t="str">
        <f>TEXT(finance_data[[#This Row],[Date]],"mmmm")</f>
        <v>April</v>
      </c>
      <c r="H88" s="3" t="str">
        <f>TEXT(finance_data[[#This Row],[Date]],"dddd")</f>
        <v>Sunday</v>
      </c>
      <c r="I88" s="3">
        <f>IF(finance_data[[#This Row],[Type]]="Expense",-finance_data[[#This Row],[Amount]],finance_data[[#This Row],[Amount]])</f>
        <v>-220</v>
      </c>
    </row>
    <row r="89" spans="1:9" x14ac:dyDescent="0.3">
      <c r="A89" s="2">
        <v>46125</v>
      </c>
      <c r="B89" s="3" t="s">
        <v>37</v>
      </c>
      <c r="C89" s="3" t="s">
        <v>75</v>
      </c>
      <c r="D89" s="3" t="s">
        <v>13</v>
      </c>
      <c r="E89" s="3" t="s">
        <v>16</v>
      </c>
      <c r="F89" s="3">
        <v>3200</v>
      </c>
      <c r="G89" s="3" t="str">
        <f>TEXT(finance_data[[#This Row],[Date]],"mmmm")</f>
        <v>April</v>
      </c>
      <c r="H89" s="3" t="str">
        <f>TEXT(finance_data[[#This Row],[Date]],"dddd")</f>
        <v>Monday</v>
      </c>
      <c r="I89" s="3">
        <f>IF(finance_data[[#This Row],[Type]]="Expense",-finance_data[[#This Row],[Amount]],finance_data[[#This Row],[Amount]])</f>
        <v>-3200</v>
      </c>
    </row>
    <row r="90" spans="1:9" x14ac:dyDescent="0.3">
      <c r="A90" s="2">
        <v>46125</v>
      </c>
      <c r="B90" s="3" t="s">
        <v>10</v>
      </c>
      <c r="C90" s="3" t="s">
        <v>76</v>
      </c>
      <c r="D90" s="3" t="s">
        <v>13</v>
      </c>
      <c r="E90" s="3" t="s">
        <v>16</v>
      </c>
      <c r="F90" s="3">
        <v>350</v>
      </c>
      <c r="G90" s="3" t="str">
        <f>TEXT(finance_data[[#This Row],[Date]],"mmmm")</f>
        <v>April</v>
      </c>
      <c r="H90" s="3" t="str">
        <f>TEXT(finance_data[[#This Row],[Date]],"dddd")</f>
        <v>Monday</v>
      </c>
      <c r="I90" s="3">
        <f>IF(finance_data[[#This Row],[Type]]="Expense",-finance_data[[#This Row],[Amount]],finance_data[[#This Row],[Amount]])</f>
        <v>-350</v>
      </c>
    </row>
    <row r="91" spans="1:9" x14ac:dyDescent="0.3">
      <c r="A91" s="2">
        <v>46126</v>
      </c>
      <c r="B91" s="3" t="s">
        <v>23</v>
      </c>
      <c r="C91" s="3" t="s">
        <v>52</v>
      </c>
      <c r="D91" s="3" t="s">
        <v>8</v>
      </c>
      <c r="E91" s="3" t="s">
        <v>9</v>
      </c>
      <c r="F91" s="3">
        <v>15000</v>
      </c>
      <c r="G91" s="3" t="str">
        <f>TEXT(finance_data[[#This Row],[Date]],"mmmm")</f>
        <v>April</v>
      </c>
      <c r="H91" s="3" t="str">
        <f>TEXT(finance_data[[#This Row],[Date]],"dddd")</f>
        <v>Tuesday</v>
      </c>
      <c r="I91" s="3">
        <f>IF(finance_data[[#This Row],[Type]]="Expense",-finance_data[[#This Row],[Amount]],finance_data[[#This Row],[Amount]])</f>
        <v>15000</v>
      </c>
    </row>
    <row r="92" spans="1:9" x14ac:dyDescent="0.3">
      <c r="A92" s="2">
        <v>46126</v>
      </c>
      <c r="B92" s="3" t="s">
        <v>22</v>
      </c>
      <c r="C92" s="3" t="s">
        <v>77</v>
      </c>
      <c r="D92" s="3" t="s">
        <v>13</v>
      </c>
      <c r="E92" s="3" t="s">
        <v>14</v>
      </c>
      <c r="F92" s="3">
        <v>4900</v>
      </c>
      <c r="G92" s="3" t="str">
        <f>TEXT(finance_data[[#This Row],[Date]],"mmmm")</f>
        <v>April</v>
      </c>
      <c r="H92" s="3" t="str">
        <f>TEXT(finance_data[[#This Row],[Date]],"dddd")</f>
        <v>Tuesday</v>
      </c>
      <c r="I92" s="3">
        <f>IF(finance_data[[#This Row],[Type]]="Expense",-finance_data[[#This Row],[Amount]],finance_data[[#This Row],[Amount]])</f>
        <v>-4900</v>
      </c>
    </row>
    <row r="93" spans="1:9" ht="28.8" x14ac:dyDescent="0.3">
      <c r="A93" s="2">
        <v>46127</v>
      </c>
      <c r="B93" s="3" t="s">
        <v>17</v>
      </c>
      <c r="C93" s="3" t="s">
        <v>54</v>
      </c>
      <c r="D93" s="3" t="s">
        <v>13</v>
      </c>
      <c r="E93" s="3" t="s">
        <v>9</v>
      </c>
      <c r="F93" s="3">
        <v>15000</v>
      </c>
      <c r="G93" s="3" t="str">
        <f>TEXT(finance_data[[#This Row],[Date]],"mmmm")</f>
        <v>April</v>
      </c>
      <c r="H93" s="3" t="str">
        <f>TEXT(finance_data[[#This Row],[Date]],"dddd")</f>
        <v>Wednesday</v>
      </c>
      <c r="I93" s="3">
        <f>IF(finance_data[[#This Row],[Type]]="Expense",-finance_data[[#This Row],[Amount]],finance_data[[#This Row],[Amount]])</f>
        <v>-15000</v>
      </c>
    </row>
    <row r="94" spans="1:9" ht="28.8" x14ac:dyDescent="0.3">
      <c r="A94" s="2">
        <v>46127</v>
      </c>
      <c r="B94" s="3" t="s">
        <v>10</v>
      </c>
      <c r="C94" s="3" t="s">
        <v>32</v>
      </c>
      <c r="D94" s="3" t="s">
        <v>13</v>
      </c>
      <c r="E94" s="3" t="s">
        <v>14</v>
      </c>
      <c r="F94" s="3">
        <v>1750</v>
      </c>
      <c r="G94" s="3" t="str">
        <f>TEXT(finance_data[[#This Row],[Date]],"mmmm")</f>
        <v>April</v>
      </c>
      <c r="H94" s="3" t="str">
        <f>TEXT(finance_data[[#This Row],[Date]],"dddd")</f>
        <v>Wednesday</v>
      </c>
      <c r="I94" s="3">
        <f>IF(finance_data[[#This Row],[Type]]="Expense",-finance_data[[#This Row],[Amount]],finance_data[[#This Row],[Amount]])</f>
        <v>-1750</v>
      </c>
    </row>
    <row r="95" spans="1:9" x14ac:dyDescent="0.3">
      <c r="A95" s="2">
        <v>46128</v>
      </c>
      <c r="B95" s="3" t="s">
        <v>11</v>
      </c>
      <c r="C95" s="3" t="s">
        <v>15</v>
      </c>
      <c r="D95" s="3" t="s">
        <v>13</v>
      </c>
      <c r="E95" s="3" t="s">
        <v>16</v>
      </c>
      <c r="F95" s="3">
        <v>100</v>
      </c>
      <c r="G95" s="3" t="str">
        <f>TEXT(finance_data[[#This Row],[Date]],"mmmm")</f>
        <v>April</v>
      </c>
      <c r="H95" s="3" t="str">
        <f>TEXT(finance_data[[#This Row],[Date]],"dddd")</f>
        <v>Thursday</v>
      </c>
      <c r="I95" s="3">
        <f>IF(finance_data[[#This Row],[Type]]="Expense",-finance_data[[#This Row],[Amount]],finance_data[[#This Row],[Amount]])</f>
        <v>-100</v>
      </c>
    </row>
    <row r="96" spans="1:9" ht="28.8" x14ac:dyDescent="0.3">
      <c r="A96" s="2">
        <v>46128</v>
      </c>
      <c r="B96" s="3" t="s">
        <v>30</v>
      </c>
      <c r="C96" s="3" t="s">
        <v>55</v>
      </c>
      <c r="D96" s="3" t="s">
        <v>13</v>
      </c>
      <c r="E96" s="3" t="s">
        <v>14</v>
      </c>
      <c r="F96" s="3">
        <v>5000</v>
      </c>
      <c r="G96" s="3" t="str">
        <f>TEXT(finance_data[[#This Row],[Date]],"mmmm")</f>
        <v>April</v>
      </c>
      <c r="H96" s="3" t="str">
        <f>TEXT(finance_data[[#This Row],[Date]],"dddd")</f>
        <v>Thursday</v>
      </c>
      <c r="I96" s="3">
        <f>IF(finance_data[[#This Row],[Type]]="Expense",-finance_data[[#This Row],[Amount]],finance_data[[#This Row],[Amount]])</f>
        <v>-5000</v>
      </c>
    </row>
    <row r="97" spans="1:9" x14ac:dyDescent="0.3">
      <c r="A97" s="2">
        <v>46129</v>
      </c>
      <c r="B97" s="3" t="s">
        <v>10</v>
      </c>
      <c r="C97" s="3" t="s">
        <v>12</v>
      </c>
      <c r="D97" s="3" t="s">
        <v>13</v>
      </c>
      <c r="E97" s="3" t="s">
        <v>16</v>
      </c>
      <c r="F97" s="3">
        <v>210</v>
      </c>
      <c r="G97" s="3" t="str">
        <f>TEXT(finance_data[[#This Row],[Date]],"mmmm")</f>
        <v>April</v>
      </c>
      <c r="H97" s="3" t="str">
        <f>TEXT(finance_data[[#This Row],[Date]],"dddd")</f>
        <v>Friday</v>
      </c>
      <c r="I97" s="3">
        <f>IF(finance_data[[#This Row],[Type]]="Expense",-finance_data[[#This Row],[Amount]],finance_data[[#This Row],[Amount]])</f>
        <v>-210</v>
      </c>
    </row>
    <row r="98" spans="1:9" x14ac:dyDescent="0.3">
      <c r="A98" s="2">
        <v>46129</v>
      </c>
      <c r="B98" s="3" t="s">
        <v>22</v>
      </c>
      <c r="C98" s="3" t="s">
        <v>78</v>
      </c>
      <c r="D98" s="3" t="s">
        <v>13</v>
      </c>
      <c r="E98" s="3" t="s">
        <v>14</v>
      </c>
      <c r="F98" s="3">
        <v>2700</v>
      </c>
      <c r="G98" s="3" t="str">
        <f>TEXT(finance_data[[#This Row],[Date]],"mmmm")</f>
        <v>April</v>
      </c>
      <c r="H98" s="3" t="str">
        <f>TEXT(finance_data[[#This Row],[Date]],"dddd")</f>
        <v>Friday</v>
      </c>
      <c r="I98" s="3">
        <f>IF(finance_data[[#This Row],[Type]]="Expense",-finance_data[[#This Row],[Amount]],finance_data[[#This Row],[Amount]])</f>
        <v>-2700</v>
      </c>
    </row>
    <row r="99" spans="1:9" x14ac:dyDescent="0.3">
      <c r="A99" s="2">
        <v>46130</v>
      </c>
      <c r="B99" s="3" t="s">
        <v>17</v>
      </c>
      <c r="C99" s="3" t="s">
        <v>58</v>
      </c>
      <c r="D99" s="3" t="s">
        <v>13</v>
      </c>
      <c r="E99" s="3" t="s">
        <v>9</v>
      </c>
      <c r="F99" s="3">
        <v>2900</v>
      </c>
      <c r="G99" s="3" t="str">
        <f>TEXT(finance_data[[#This Row],[Date]],"mmmm")</f>
        <v>April</v>
      </c>
      <c r="H99" s="3" t="str">
        <f>TEXT(finance_data[[#This Row],[Date]],"dddd")</f>
        <v>Saturday</v>
      </c>
      <c r="I99" s="3">
        <f>IF(finance_data[[#This Row],[Type]]="Expense",-finance_data[[#This Row],[Amount]],finance_data[[#This Row],[Amount]])</f>
        <v>-2900</v>
      </c>
    </row>
    <row r="100" spans="1:9" x14ac:dyDescent="0.3">
      <c r="A100" s="2">
        <v>46130</v>
      </c>
      <c r="B100" s="3" t="s">
        <v>10</v>
      </c>
      <c r="C100" s="3" t="s">
        <v>25</v>
      </c>
      <c r="D100" s="3" t="s">
        <v>13</v>
      </c>
      <c r="E100" s="3" t="s">
        <v>14</v>
      </c>
      <c r="F100" s="3">
        <v>850</v>
      </c>
      <c r="G100" s="3" t="str">
        <f>TEXT(finance_data[[#This Row],[Date]],"mmmm")</f>
        <v>April</v>
      </c>
      <c r="H100" s="3" t="str">
        <f>TEXT(finance_data[[#This Row],[Date]],"dddd")</f>
        <v>Saturday</v>
      </c>
      <c r="I100" s="3">
        <f>IF(finance_data[[#This Row],[Type]]="Expense",-finance_data[[#This Row],[Amount]],finance_data[[#This Row],[Amount]])</f>
        <v>-850</v>
      </c>
    </row>
    <row r="101" spans="1:9" x14ac:dyDescent="0.3">
      <c r="A101" s="2">
        <v>46131</v>
      </c>
      <c r="B101" s="3" t="s">
        <v>11</v>
      </c>
      <c r="C101" s="3" t="s">
        <v>35</v>
      </c>
      <c r="D101" s="3" t="s">
        <v>13</v>
      </c>
      <c r="E101" s="3" t="s">
        <v>16</v>
      </c>
      <c r="F101" s="3">
        <v>990</v>
      </c>
      <c r="G101" s="3" t="str">
        <f>TEXT(finance_data[[#This Row],[Date]],"mmmm")</f>
        <v>April</v>
      </c>
      <c r="H101" s="3" t="str">
        <f>TEXT(finance_data[[#This Row],[Date]],"dddd")</f>
        <v>Sunday</v>
      </c>
      <c r="I101" s="3">
        <f>IF(finance_data[[#This Row],[Type]]="Expense",-finance_data[[#This Row],[Amount]],finance_data[[#This Row],[Amount]])</f>
        <v>-990</v>
      </c>
    </row>
    <row r="102" spans="1:9" ht="28.8" x14ac:dyDescent="0.3">
      <c r="A102" s="2">
        <v>46131</v>
      </c>
      <c r="B102" s="3" t="s">
        <v>30</v>
      </c>
      <c r="C102" s="3" t="s">
        <v>40</v>
      </c>
      <c r="D102" s="3" t="s">
        <v>13</v>
      </c>
      <c r="E102" s="3" t="s">
        <v>14</v>
      </c>
      <c r="F102" s="3">
        <v>1500</v>
      </c>
      <c r="G102" s="3" t="str">
        <f>TEXT(finance_data[[#This Row],[Date]],"mmmm")</f>
        <v>April</v>
      </c>
      <c r="H102" s="3" t="str">
        <f>TEXT(finance_data[[#This Row],[Date]],"dddd")</f>
        <v>Sunday</v>
      </c>
      <c r="I102" s="3">
        <f>IF(finance_data[[#This Row],[Type]]="Expense",-finance_data[[#This Row],[Amount]],finance_data[[#This Row],[Amount]])</f>
        <v>-1500</v>
      </c>
    </row>
    <row r="103" spans="1:9" x14ac:dyDescent="0.3">
      <c r="A103" s="2">
        <v>46132</v>
      </c>
      <c r="B103" s="3" t="s">
        <v>23</v>
      </c>
      <c r="C103" s="3" t="s">
        <v>79</v>
      </c>
      <c r="D103" s="3" t="s">
        <v>8</v>
      </c>
      <c r="E103" s="3" t="s">
        <v>9</v>
      </c>
      <c r="F103" s="3">
        <v>7000</v>
      </c>
      <c r="G103" s="3" t="str">
        <f>TEXT(finance_data[[#This Row],[Date]],"mmmm")</f>
        <v>April</v>
      </c>
      <c r="H103" s="3" t="str">
        <f>TEXT(finance_data[[#This Row],[Date]],"dddd")</f>
        <v>Monday</v>
      </c>
      <c r="I103" s="3">
        <f>IF(finance_data[[#This Row],[Type]]="Expense",-finance_data[[#This Row],[Amount]],finance_data[[#This Row],[Amount]])</f>
        <v>7000</v>
      </c>
    </row>
  </sheetData>
  <dataValidations count="1">
    <dataValidation type="list" allowBlank="1" showInputMessage="1" showErrorMessage="1" errorTitle="Cat_EM" error="The Category you enterd is wrong." sqref="B1:B1048576" xr:uid="{E223F731-59A3-4662-94BF-374F5D378E8C}">
      <formula1>"Transport, Shopping, Bills, Entertainment, Health, Salary, Loan"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B15B-9361-4CFE-BC9B-EE59B115DCDB}">
  <dimension ref="A1:E15"/>
  <sheetViews>
    <sheetView zoomScale="90" workbookViewId="0">
      <selection activeCell="G37" sqref="G37"/>
    </sheetView>
  </sheetViews>
  <sheetFormatPr defaultRowHeight="14.4" x14ac:dyDescent="0.3"/>
  <cols>
    <col min="1" max="1" width="12.6640625" bestFit="1" customWidth="1"/>
    <col min="2" max="2" width="14.44140625" bestFit="1" customWidth="1"/>
    <col min="4" max="4" width="12.5546875" bestFit="1" customWidth="1"/>
    <col min="5" max="5" width="14.44140625" bestFit="1" customWidth="1"/>
    <col min="7" max="7" width="12.5546875" bestFit="1" customWidth="1"/>
    <col min="8" max="8" width="14.44140625" bestFit="1" customWidth="1"/>
    <col min="10" max="10" width="12.5546875" bestFit="1" customWidth="1"/>
    <col min="11" max="11" width="14.44140625" bestFit="1" customWidth="1"/>
  </cols>
  <sheetData>
    <row r="1" spans="1:5" x14ac:dyDescent="0.3">
      <c r="A1" s="4" t="s">
        <v>3</v>
      </c>
      <c r="B1" t="s">
        <v>13</v>
      </c>
      <c r="D1" s="4" t="s">
        <v>3</v>
      </c>
      <c r="E1" t="s">
        <v>86</v>
      </c>
    </row>
    <row r="3" spans="1:5" x14ac:dyDescent="0.3">
      <c r="A3" s="4" t="s">
        <v>83</v>
      </c>
      <c r="B3" t="s">
        <v>85</v>
      </c>
      <c r="D3" s="4" t="s">
        <v>83</v>
      </c>
      <c r="E3" t="s">
        <v>85</v>
      </c>
    </row>
    <row r="4" spans="1:5" x14ac:dyDescent="0.3">
      <c r="A4" s="5" t="s">
        <v>17</v>
      </c>
      <c r="B4" s="6">
        <v>54648</v>
      </c>
      <c r="D4" s="5" t="s">
        <v>87</v>
      </c>
      <c r="E4" s="6">
        <v>181557</v>
      </c>
    </row>
    <row r="5" spans="1:5" x14ac:dyDescent="0.3">
      <c r="A5" s="5" t="s">
        <v>30</v>
      </c>
      <c r="B5" s="6">
        <v>33999</v>
      </c>
      <c r="D5" s="5" t="s">
        <v>88</v>
      </c>
      <c r="E5" s="6">
        <v>115340</v>
      </c>
    </row>
    <row r="6" spans="1:5" x14ac:dyDescent="0.3">
      <c r="A6" s="5" t="s">
        <v>10</v>
      </c>
      <c r="B6" s="6">
        <v>23530</v>
      </c>
      <c r="D6" s="5" t="s">
        <v>84</v>
      </c>
      <c r="E6" s="6">
        <v>296897</v>
      </c>
    </row>
    <row r="7" spans="1:5" x14ac:dyDescent="0.3">
      <c r="A7" s="5" t="s">
        <v>37</v>
      </c>
      <c r="B7" s="6">
        <v>8180</v>
      </c>
    </row>
    <row r="8" spans="1:5" x14ac:dyDescent="0.3">
      <c r="A8" s="5" t="s">
        <v>22</v>
      </c>
      <c r="B8" s="6">
        <v>78140</v>
      </c>
    </row>
    <row r="9" spans="1:5" x14ac:dyDescent="0.3">
      <c r="A9" s="5" t="s">
        <v>11</v>
      </c>
      <c r="B9" s="6">
        <v>7800</v>
      </c>
      <c r="D9" s="4" t="s">
        <v>83</v>
      </c>
      <c r="E9" t="s">
        <v>85</v>
      </c>
    </row>
    <row r="10" spans="1:5" x14ac:dyDescent="0.3">
      <c r="A10" s="5" t="s">
        <v>84</v>
      </c>
      <c r="B10" s="6">
        <v>206297</v>
      </c>
      <c r="D10" s="5" t="s">
        <v>9</v>
      </c>
      <c r="E10" s="6">
        <v>141800</v>
      </c>
    </row>
    <row r="11" spans="1:5" x14ac:dyDescent="0.3">
      <c r="D11" s="5" t="s">
        <v>14</v>
      </c>
      <c r="E11" s="6">
        <v>132787</v>
      </c>
    </row>
    <row r="12" spans="1:5" x14ac:dyDescent="0.3">
      <c r="A12" s="4" t="s">
        <v>83</v>
      </c>
      <c r="B12" t="s">
        <v>85</v>
      </c>
      <c r="D12" s="5" t="s">
        <v>16</v>
      </c>
      <c r="E12" s="6">
        <v>22310</v>
      </c>
    </row>
    <row r="13" spans="1:5" x14ac:dyDescent="0.3">
      <c r="A13" s="5" t="s">
        <v>13</v>
      </c>
      <c r="B13" s="6">
        <v>206297</v>
      </c>
      <c r="D13" s="5" t="s">
        <v>84</v>
      </c>
      <c r="E13" s="6">
        <v>296897</v>
      </c>
    </row>
    <row r="14" spans="1:5" x14ac:dyDescent="0.3">
      <c r="A14" s="5" t="s">
        <v>8</v>
      </c>
      <c r="B14" s="6">
        <v>90600</v>
      </c>
    </row>
    <row r="15" spans="1:5" x14ac:dyDescent="0.3">
      <c r="A15" s="5" t="s">
        <v>84</v>
      </c>
      <c r="B15" s="6">
        <v>296897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B969-27C6-4EAE-A2E2-96BE462DAB10}">
  <dimension ref="A1:Q40"/>
  <sheetViews>
    <sheetView showGridLines="0" tabSelected="1" zoomScale="103" workbookViewId="0">
      <selection activeCell="F42" sqref="F42"/>
    </sheetView>
  </sheetViews>
  <sheetFormatPr defaultRowHeight="14.4" x14ac:dyDescent="0.3"/>
  <sheetData>
    <row r="1" spans="1:17" ht="14.4" customHeight="1" x14ac:dyDescent="0.3">
      <c r="A1" s="7" t="s">
        <v>89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</row>
    <row r="2" spans="1:17" ht="14.4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 spans="1:17" ht="14.4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</row>
    <row r="4" spans="1:17" ht="14.4" customHeight="1" x14ac:dyDescent="0.3">
      <c r="A4" s="8"/>
      <c r="B4" s="9"/>
      <c r="C4" s="9"/>
      <c r="D4" s="9"/>
      <c r="E4" s="8"/>
      <c r="I4" s="8"/>
      <c r="J4" s="7"/>
      <c r="K4" s="7"/>
      <c r="L4" s="7"/>
      <c r="M4" s="8"/>
      <c r="N4" s="9"/>
      <c r="O4" s="9"/>
      <c r="P4" s="9"/>
    </row>
    <row r="5" spans="1:17" x14ac:dyDescent="0.3">
      <c r="B5" s="9"/>
      <c r="C5" s="9"/>
      <c r="D5" s="9"/>
      <c r="J5" s="7"/>
      <c r="K5" s="7"/>
      <c r="L5" s="7"/>
      <c r="N5" s="9"/>
      <c r="O5" s="9"/>
      <c r="P5" s="9"/>
    </row>
    <row r="6" spans="1:17" x14ac:dyDescent="0.3">
      <c r="B6" s="9"/>
      <c r="C6" s="9"/>
      <c r="D6" s="9"/>
      <c r="J6" s="7"/>
      <c r="K6" s="7"/>
      <c r="L6" s="7"/>
      <c r="N6" s="9"/>
      <c r="O6" s="9"/>
      <c r="P6" s="9"/>
    </row>
    <row r="7" spans="1:17" x14ac:dyDescent="0.3">
      <c r="B7" s="9"/>
      <c r="C7" s="9"/>
      <c r="D7" s="9"/>
      <c r="J7" s="7"/>
      <c r="K7" s="7"/>
      <c r="L7" s="7"/>
      <c r="N7" s="9"/>
      <c r="O7" s="9"/>
      <c r="P7" s="9"/>
    </row>
    <row r="34" spans="2:16" x14ac:dyDescent="0.3">
      <c r="B34" s="10" t="s">
        <v>90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2:16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2:16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2:16" x14ac:dyDescent="0.3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2:16" x14ac:dyDescent="0.3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2:16" x14ac:dyDescent="0.3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2:16" x14ac:dyDescent="0.3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</sheetData>
  <mergeCells count="5">
    <mergeCell ref="B34:P40"/>
    <mergeCell ref="A1:P3"/>
    <mergeCell ref="B4:D7"/>
    <mergeCell ref="J4:L7"/>
    <mergeCell ref="N4:P7"/>
  </mergeCells>
  <phoneticPr fontId="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Cleaned_Data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Janeesha Dewmini</dc:creator>
  <cp:lastModifiedBy>Janeesha Dewmini</cp:lastModifiedBy>
  <dcterms:created xsi:type="dcterms:W3CDTF">2026-05-22T08:01:51Z</dcterms:created>
  <dcterms:modified xsi:type="dcterms:W3CDTF">2026-05-24T16:35:37Z</dcterms:modified>
</cp:coreProperties>
</file>